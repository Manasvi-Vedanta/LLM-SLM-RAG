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Questions" sheetId="1" state="visible" r:id="rId1"/>
    <sheet xmlns:r="http://schemas.openxmlformats.org/officeDocument/2006/relationships" name="Adjudication guide" sheetId="2" state="visible" r:id="rId2"/>
    <sheet xmlns:r="http://schemas.openxmlformats.org/officeDocument/2006/relationships" name="Adjudication rules &amp; log" sheetId="3" state="visible" r:id="rId3"/>
    <sheet xmlns:r="http://schemas.openxmlformats.org/officeDocument/2006/relationships" name="Instructions &amp; stats" sheetId="4" state="visible" r:id="rId4"/>
  </sheets>
  <definedNames>
    <definedName name="_xlnm._FilterDatabase" localSheetId="0" hidden="1">'Questions'!$A$1:$M$151</definedName>
    <definedName name="_xlnm._FilterDatabase" localSheetId="1" hidden="1">'Adjudication guide'!$A$5:$H$51</definedName>
  </definedNames>
  <calcPr calcId="124519" fullCalcOnLoad="1"/>
</workbook>
</file>

<file path=xl/styles.xml><?xml version="1.0" encoding="utf-8"?>
<styleSheet xmlns="http://schemas.openxmlformats.org/spreadsheetml/2006/main">
  <numFmts count="1">
    <numFmt numFmtId="164" formatCode="0.0%"/>
  </numFmts>
  <fonts count="11">
    <font>
      <name val="Calibri"/>
      <color theme="1"/>
      <sz val="11"/>
      <scheme val="minor"/>
    </font>
    <font>
      <name val="Arial"/>
      <b val="1"/>
      <color theme="1"/>
      <sz val="10"/>
    </font>
    <font>
      <name val="Arial"/>
      <color theme="1"/>
      <sz val="10"/>
    </font>
    <font>
      <name val="Arial"/>
      <b val="1"/>
      <color rgb="FFFFFFFF"/>
      <sz val="10"/>
    </font>
    <font>
      <name val="Arial"/>
      <b val="1"/>
      <color theme="1"/>
      <sz val="13"/>
    </font>
    <font>
      <name val="Arial"/>
      <i val="1"/>
      <color rgb="FF595959"/>
      <sz val="9"/>
    </font>
    <font>
      <name val="Calibri"/>
      <color theme="1"/>
      <scheme val="minor"/>
    </font>
    <font>
      <name val="Arial"/>
      <b val="1"/>
      <color rgb="FF9C0006"/>
      <sz val="10"/>
    </font>
    <font>
      <name val="Arial"/>
      <color rgb="FF595959"/>
      <sz val="9"/>
    </font>
    <font>
      <name val="Arial"/>
      <color rgb="FF9C0006"/>
      <sz val="9"/>
    </font>
    <font>
      <name val="Arial"/>
      <b val="1"/>
      <sz val="10"/>
    </font>
  </fonts>
  <fills count="8">
    <fill>
      <patternFill/>
    </fill>
    <fill>
      <patternFill patternType="lightGray"/>
    </fill>
    <fill>
      <patternFill patternType="solid">
        <fgColor rgb="FF1F2937"/>
        <bgColor rgb="FF1F2937"/>
      </patternFill>
    </fill>
    <fill>
      <patternFill patternType="solid">
        <fgColor rgb="FFE2EFDA"/>
        <bgColor rgb="FFE2EFDA"/>
      </patternFill>
    </fill>
    <fill>
      <patternFill patternType="solid">
        <fgColor rgb="FFFFF2CC"/>
        <bgColor rgb="FFFFF2CC"/>
      </patternFill>
    </fill>
    <fill>
      <patternFill patternType="solid">
        <fgColor rgb="FFDEEAF6"/>
        <bgColor rgb="FFDEEAF6"/>
      </patternFill>
    </fill>
    <fill>
      <patternFill patternType="solid">
        <fgColor rgb="FFFFEB9C"/>
        <bgColor rgb="FFFFEB9C"/>
      </patternFill>
    </fill>
    <fill>
      <patternFill patternType="solid">
        <fgColor rgb="FFF9E3E1"/>
        <bgColor rgb="FFF9E3E1"/>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numFmtId="0" fontId="0" fillId="0" borderId="0"/>
  </cellStyleXfs>
  <cellXfs count="25">
    <xf numFmtId="0" fontId="0" fillId="0" borderId="0" applyAlignment="1" pivotButton="0" quotePrefix="0" xfId="0">
      <alignment vertical="bottom"/>
    </xf>
    <xf numFmtId="0" fontId="1" fillId="0" borderId="0" pivotButton="0" quotePrefix="0" xfId="0"/>
    <xf numFmtId="0" fontId="2" fillId="0" borderId="0" pivotButton="0" quotePrefix="0" xfId="0"/>
    <xf numFmtId="0" fontId="1" fillId="0" borderId="0" applyAlignment="1" pivotButton="0" quotePrefix="0" xfId="0">
      <alignment vertical="top" wrapText="1"/>
    </xf>
    <xf numFmtId="0" fontId="3" fillId="2" borderId="1" applyAlignment="1" pivotButton="0" quotePrefix="0" xfId="0">
      <alignment vertical="center" wrapText="1"/>
    </xf>
    <xf numFmtId="0" fontId="2" fillId="0" borderId="0" applyAlignment="1" pivotButton="0" quotePrefix="0" xfId="0">
      <alignment vertical="top" wrapText="1"/>
    </xf>
    <xf numFmtId="0" fontId="4" fillId="0" borderId="0" pivotButton="0" quotePrefix="0" xfId="0"/>
    <xf numFmtId="0" fontId="3" fillId="2" borderId="1" pivotButton="0" quotePrefix="0" xfId="0"/>
    <xf numFmtId="0" fontId="5" fillId="0" borderId="0" pivotButton="0" quotePrefix="0" xfId="0"/>
    <xf numFmtId="0" fontId="3" fillId="2" borderId="1" pivotButton="0" quotePrefix="0" xfId="0"/>
    <xf numFmtId="0" fontId="2" fillId="0" borderId="2" applyAlignment="1" pivotButton="0" quotePrefix="0" xfId="0">
      <alignment vertical="top" wrapText="1"/>
    </xf>
    <xf numFmtId="0" fontId="2" fillId="0" borderId="2" applyAlignment="1" pivotButton="0" quotePrefix="0" xfId="0">
      <alignment vertical="top"/>
    </xf>
    <xf numFmtId="0" fontId="6" fillId="0" borderId="0" applyAlignment="1" pivotButton="0" quotePrefix="0" xfId="0">
      <alignment vertical="top" wrapText="1"/>
    </xf>
    <xf numFmtId="0" fontId="6" fillId="0" borderId="0" applyAlignment="1" pivotButton="0" quotePrefix="0" xfId="0">
      <alignment vertical="top" wrapText="1"/>
    </xf>
    <xf numFmtId="0" fontId="2" fillId="3" borderId="2" applyAlignment="1" pivotButton="0" quotePrefix="0" xfId="0">
      <alignment vertical="top"/>
    </xf>
    <xf numFmtId="0" fontId="7" fillId="0" borderId="2" applyAlignment="1" pivotButton="0" quotePrefix="0" xfId="0">
      <alignment vertical="top" wrapText="1"/>
    </xf>
    <xf numFmtId="0" fontId="2" fillId="4" borderId="2" applyAlignment="1" pivotButton="0" quotePrefix="0" xfId="0">
      <alignment vertical="top"/>
    </xf>
    <xf numFmtId="164" fontId="2" fillId="0" borderId="0" pivotButton="0" quotePrefix="0" xfId="0"/>
    <xf numFmtId="0" fontId="8" fillId="0" borderId="0" pivotButton="0" quotePrefix="0" xfId="0"/>
    <xf numFmtId="0" fontId="9" fillId="0" borderId="0" pivotButton="0" quotePrefix="0" xfId="0"/>
    <xf numFmtId="0" fontId="2" fillId="5" borderId="2" applyAlignment="1" pivotButton="0" quotePrefix="0" xfId="0">
      <alignment vertical="top"/>
    </xf>
    <xf numFmtId="0" fontId="2" fillId="6" borderId="2" applyAlignment="1" pivotButton="0" quotePrefix="0" xfId="0">
      <alignment vertical="top"/>
    </xf>
    <xf numFmtId="0" fontId="2" fillId="7" borderId="2" applyAlignment="1" pivotButton="0" quotePrefix="0" xfId="0">
      <alignment vertical="top"/>
    </xf>
    <xf numFmtId="0" fontId="0" fillId="0" borderId="0" pivotButton="0" quotePrefix="0" xfId="0"/>
    <xf numFmtId="0" fontId="10" fillId="0" borderId="0" pivotButton="0" quotePrefix="0" xfId="0"/>
  </cellXfs>
  <cellStyles count="1">
    <cellStyle name="Normal" xfId="0" builtinId="0"/>
  </cellStyles>
  <dxfs count="4">
    <dxf>
      <font/>
      <fill>
        <patternFill patternType="solid">
          <fgColor rgb="FFC6EFCE"/>
          <bgColor rgb="FFC6EFCE"/>
        </patternFill>
      </fill>
      <border/>
    </dxf>
    <dxf>
      <font/>
      <fill>
        <patternFill patternType="solid">
          <fgColor rgb="FFFFEB9C"/>
          <bgColor rgb="FFFFEB9C"/>
        </patternFill>
      </fill>
      <border/>
    </dxf>
    <dxf>
      <font/>
      <fill>
        <patternFill patternType="solid">
          <fgColor rgb="FFFFC7CE"/>
          <bgColor rgb="FFFFC7CE"/>
        </patternFill>
      </fill>
      <border/>
    </dxf>
    <dxf>
      <font>
        <name val="Arial"/>
        <b val="1"/>
        <color rgb="FF9C0006"/>
        <sz val="10"/>
      </font>
      <fill>
        <patternFill patternType="solid">
          <fgColor rgb="FFFFC7CE"/>
          <bgColor rgb="FFFFC7CE"/>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M151"/>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4.43" defaultRowHeight="15" customHeight="1"/>
  <cols>
    <col width="6" customWidth="1" style="23" min="1" max="1"/>
    <col width="14" customWidth="1" style="23" min="2" max="2"/>
    <col width="21.29" customWidth="1" style="23" min="3" max="3"/>
    <col width="31.14" customWidth="1" style="23" min="4" max="4"/>
    <col width="48" customWidth="1" style="23" min="5" max="5"/>
    <col width="36" customWidth="1" style="23" min="6" max="6"/>
    <col width="19" customWidth="1" style="23" min="7" max="7"/>
    <col width="34" customWidth="1" style="23" min="8" max="8"/>
    <col width="13" customWidth="1" style="23" min="9" max="10"/>
    <col width="11" customWidth="1" style="23" min="11" max="11"/>
    <col width="12" customWidth="1" style="23" min="12" max="12"/>
    <col width="60.43" customWidth="1" style="23" min="13" max="13"/>
    <col width="8.859999999999999" customWidth="1" style="23" min="14" max="26"/>
  </cols>
  <sheetData>
    <row r="1" ht="27.75" customHeight="1" s="23">
      <c r="A1" s="4" t="inlineStr">
        <is>
          <t>ID</t>
        </is>
      </c>
      <c r="B1" s="4" t="inlineStr">
        <is>
          <t>Slice</t>
        </is>
      </c>
      <c r="C1" s="4" t="inlineStr">
        <is>
          <t>Sub-type</t>
        </is>
      </c>
      <c r="D1" s="4" t="inlineStr">
        <is>
          <t>Topic</t>
        </is>
      </c>
      <c r="E1" s="4" t="inlineStr">
        <is>
          <t>Question</t>
        </is>
      </c>
      <c r="F1" s="4" t="inlineStr">
        <is>
          <t>Rationale / rewrite history</t>
        </is>
      </c>
      <c r="G1" s="4" t="inlineStr">
        <is>
          <t>Verification status</t>
        </is>
      </c>
      <c r="H1" s="4" t="inlineStr">
        <is>
          <t>Evidence (book, pages)</t>
        </is>
      </c>
      <c r="I1" s="4" t="inlineStr">
        <is>
          <t>Annotator 1 label</t>
        </is>
      </c>
      <c r="J1" s="4" t="inlineStr">
        <is>
          <t>Annotator 2 label</t>
        </is>
      </c>
      <c r="K1" s="4" t="inlineStr">
        <is>
          <t>Agreement</t>
        </is>
      </c>
      <c r="L1" s="4" t="inlineStr">
        <is>
          <t>Final label</t>
        </is>
      </c>
      <c r="M1" s="4" t="inlineStr">
        <is>
          <t>Notes</t>
        </is>
      </c>
    </row>
    <row r="2" ht="42" customHeight="1" s="23">
      <c r="A2" s="11" t="inlineStr">
        <is>
          <t>Q001</t>
        </is>
      </c>
      <c r="B2" s="14" t="inlineStr">
        <is>
          <t>In-scope direct</t>
        </is>
      </c>
      <c r="C2" s="11" t="inlineStr">
        <is>
          <t>Single chunk</t>
        </is>
      </c>
      <c r="D2" s="11" t="inlineStr">
        <is>
          <t>Python fundamentals</t>
        </is>
      </c>
      <c r="E2" s="10" t="inlineStr">
        <is>
          <t>What is the difference between a list and a tuple in Python?</t>
        </is>
      </c>
      <c r="F2" s="10" t="inlineStr">
        <is>
          <t>Mutability, syntax, use cases.</t>
        </is>
      </c>
      <c r="G2" s="16" t="inlineStr">
        <is>
          <t>Verified in corpus</t>
        </is>
      </c>
      <c r="H2" s="10" t="inlineStr">
        <is>
          <t>'tuple': PY p.7,81,95… (13 pgs)</t>
        </is>
      </c>
      <c r="I2" s="16" t="inlineStr">
        <is>
          <t>Tangential</t>
        </is>
      </c>
      <c r="J2" s="16" t="inlineStr">
        <is>
          <t>In-scope</t>
        </is>
      </c>
      <c r="K2" s="11">
        <f>IF(AND(I2&lt;&gt;"",J2&lt;&gt;""),IF(I2=J2,"Agree","DISAGREE"),"")</f>
        <v/>
      </c>
      <c r="L2" s="16" t="inlineStr">
        <is>
          <t>In-scope</t>
        </is>
      </c>
      <c r="M2" s="10" t="inlineStr">
        <is>
          <t>Verified by Claude 21-Jul-2026 (read cited pages; human spot-check advised): PY §3.4–3.5; mutability contrast p.96. || ADJUDICATED (LLM-applied rules, pending author ratification): Rule 1+3 — PY p.96 contrasts lists/tuples explicitly ('tuples are immutable, whereas lists are mutable').</t>
        </is>
      </c>
    </row>
    <row r="3" ht="42" customHeight="1" s="23">
      <c r="A3" s="11" t="inlineStr">
        <is>
          <t>Q002</t>
        </is>
      </c>
      <c r="B3" s="14" t="inlineStr">
        <is>
          <t>In-scope direct</t>
        </is>
      </c>
      <c r="C3" s="11" t="inlineStr">
        <is>
          <t>Single chunk</t>
        </is>
      </c>
      <c r="D3" s="11" t="inlineStr">
        <is>
          <t>Python fundamentals</t>
        </is>
      </c>
      <c r="E3" s="10" t="inlineStr">
        <is>
          <t>How does a while loop differ from a for loop in Python?</t>
        </is>
      </c>
      <c r="F3" s="10" t="inlineStr">
        <is>
          <t>Iteration constructs chapter.</t>
        </is>
      </c>
      <c r="G3" s="16" t="inlineStr">
        <is>
          <t>Verified in corpus</t>
        </is>
      </c>
      <c r="H3" s="10" t="inlineStr">
        <is>
          <t>'while loop': PY p.8,131,132… (20 pgs); ODS p.235,278 (2 pgs)</t>
        </is>
      </c>
      <c r="I3" s="16" t="inlineStr">
        <is>
          <t>In-scope</t>
        </is>
      </c>
      <c r="J3" s="16" t="inlineStr">
        <is>
          <t>In-scope</t>
        </is>
      </c>
      <c r="K3" s="11">
        <f>IF(AND(I3&lt;&gt;"",J3&lt;&gt;""),IF(I3=J3,"Agree","DISAGREE"),"")</f>
        <v/>
      </c>
      <c r="L3" s="16" t="inlineStr">
        <is>
          <t>In-scope</t>
        </is>
      </c>
      <c r="M3" s="10" t="inlineStr">
        <is>
          <t>Verified by Claude 21-Jul-2026 (read cited pages; human spot-check advised): PY ch.5 intro + §5.1–5.2 (p.131).</t>
        </is>
      </c>
    </row>
    <row r="4" ht="42" customHeight="1" s="23">
      <c r="A4" s="11" t="inlineStr">
        <is>
          <t>Q003</t>
        </is>
      </c>
      <c r="B4" s="14" t="inlineStr">
        <is>
          <t>In-scope direct</t>
        </is>
      </c>
      <c r="C4" s="11" t="inlineStr">
        <is>
          <t>Single chunk</t>
        </is>
      </c>
      <c r="D4" s="11" t="inlineStr">
        <is>
          <t>Python fundamentals</t>
        </is>
      </c>
      <c r="E4" s="10" t="inlineStr">
        <is>
          <t>What does the len() function return when applied to a string?</t>
        </is>
      </c>
      <c r="F4" s="10" t="inlineStr">
        <is>
          <t>Built-in functions / strings.</t>
        </is>
      </c>
      <c r="G4" s="16" t="inlineStr">
        <is>
          <t>Verified in corpus</t>
        </is>
      </c>
      <c r="H4" s="10" t="inlineStr">
        <is>
          <t>'len(': PY p.26,27,28… (29 pgs); DS p.84,269,303… (10 pgs); ODS p.99,137 (2 pgs)</t>
        </is>
      </c>
      <c r="I4" s="16" t="inlineStr">
        <is>
          <t>In-scope</t>
        </is>
      </c>
      <c r="J4" s="16" t="inlineStr">
        <is>
          <t>In-scope</t>
        </is>
      </c>
      <c r="K4" s="11">
        <f>IF(AND(I4&lt;&gt;"",J4&lt;&gt;""),IF(I4=J4,"Agree","DISAGREE"),"")</f>
        <v/>
      </c>
      <c r="L4" s="16" t="inlineStr">
        <is>
          <t>In-scope</t>
        </is>
      </c>
      <c r="M4" s="10" t="inlineStr">
        <is>
          <t>Verified by Claude 21-Jul-2026 (read cited pages; human spot-check advised): PY §1.4, p.27: 'len() returns the string length'.</t>
        </is>
      </c>
    </row>
    <row r="5" ht="42" customHeight="1" s="23">
      <c r="A5" s="11" t="inlineStr">
        <is>
          <t>Q004</t>
        </is>
      </c>
      <c r="B5" s="14" t="inlineStr">
        <is>
          <t>In-scope direct</t>
        </is>
      </c>
      <c r="C5" s="11" t="inlineStr">
        <is>
          <t>Single chunk</t>
        </is>
      </c>
      <c r="D5" s="11" t="inlineStr">
        <is>
          <t>Python fundamentals</t>
        </is>
      </c>
      <c r="E5" s="10" t="inlineStr">
        <is>
          <t>How are exceptions handled in Python using try and except blocks?</t>
        </is>
      </c>
      <c r="F5" s="10" t="inlineStr">
        <is>
          <t>Error-handling chapter.</t>
        </is>
      </c>
      <c r="G5" s="16" t="inlineStr">
        <is>
          <t>Verified in corpus</t>
        </is>
      </c>
      <c r="H5" s="10" t="inlineStr">
        <is>
          <t>'except': PY p.10,25,50… (19 pgs); DS p.350,385,391… (7 pgs); ODS p.39,76,81… (17 pgs); SE p.4 (1 pgs)</t>
        </is>
      </c>
      <c r="I5" s="16" t="inlineStr">
        <is>
          <t>In-scope</t>
        </is>
      </c>
      <c r="J5" s="16" t="inlineStr">
        <is>
          <t>In-scope</t>
        </is>
      </c>
      <c r="K5" s="11">
        <f>IF(AND(I5&lt;&gt;"",J5&lt;&gt;""),IF(I5=J5,"Agree","DISAGREE"),"")</f>
        <v/>
      </c>
      <c r="L5" s="16" t="inlineStr">
        <is>
          <t>In-scope</t>
        </is>
      </c>
      <c r="M5" s="10" t="inlineStr">
        <is>
          <t>Verified by Claude 21-Jul-2026 (read cited pages; human spot-check advised): PY §14.4 Handling exceptions.</t>
        </is>
      </c>
    </row>
    <row r="6" ht="55.5" customHeight="1" s="23">
      <c r="A6" s="11" t="inlineStr">
        <is>
          <t>Q005</t>
        </is>
      </c>
      <c r="B6" s="14" t="inlineStr">
        <is>
          <t>In-scope direct</t>
        </is>
      </c>
      <c r="C6" s="11" t="inlineStr">
        <is>
          <t>Single chunk</t>
        </is>
      </c>
      <c r="D6" s="11" t="inlineStr">
        <is>
          <t>Python fundamentals</t>
        </is>
      </c>
      <c r="E6" s="10" t="inlineStr">
        <is>
          <t>How does slicing work for strings in Python?</t>
        </is>
      </c>
      <c r="F6" s="10" t="inlineStr">
        <is>
          <t>REWRITTEN v2 (was: == vs is — not covered). Slicing covered in string and list chapters. | NARROWED v3.2 during adjudication: list slicing verified absent (annotator V's catch).</t>
        </is>
      </c>
      <c r="G6" s="16" t="inlineStr">
        <is>
          <t>Verified in corpus</t>
        </is>
      </c>
      <c r="H6" s="10" t="inlineStr">
        <is>
          <t>'slicing': PY p.8,195,207… (15 pgs); DS p.84,107,571 (3 pgs) | 'slice': PY p.54,387,391… (4 pgs); DS p.84,252 (2 pgs); SE p.71 (1 pgs)</t>
        </is>
      </c>
      <c r="I6" s="16" t="inlineStr">
        <is>
          <t>Tangential</t>
        </is>
      </c>
      <c r="J6" s="16" t="inlineStr">
        <is>
          <t>In-scope</t>
        </is>
      </c>
      <c r="K6" s="11">
        <f>IF(AND(I6&lt;&gt;"",J6&lt;&gt;""),IF(I6=J6,"Agree","DISAGREE"),"")</f>
        <v/>
      </c>
      <c r="L6" s="16" t="inlineStr">
        <is>
          <t>In-scope</t>
        </is>
      </c>
      <c r="M6" s="10" t="inlineStr">
        <is>
          <t>Verified by Claude 21-Jul-2026 (read cited pages; human spot-check advised): PY §8.2 String slicing (+DS p.84). || ADJUDICATED (LLM-applied rules, pending author ratification): Rule 3 — QUESTION NARROWED v3.2 to strings only (V's remark verified correct: list slicing never taught). String slicing = PY §8.2.</t>
        </is>
      </c>
    </row>
    <row r="7" ht="42" customHeight="1" s="23">
      <c r="A7" s="11" t="inlineStr">
        <is>
          <t>Q006</t>
        </is>
      </c>
      <c r="B7" s="14" t="inlineStr">
        <is>
          <t>In-scope direct</t>
        </is>
      </c>
      <c r="C7" s="11" t="inlineStr">
        <is>
          <t>Single chunk</t>
        </is>
      </c>
      <c r="D7" s="11" t="inlineStr">
        <is>
          <t>Python fundamentals</t>
        </is>
      </c>
      <c r="E7" s="10" t="inlineStr">
        <is>
          <t>How does Python's range() function work and what arguments does it accept?</t>
        </is>
      </c>
      <c r="F7" s="10" t="inlineStr">
        <is>
          <t>Loops chapter.</t>
        </is>
      </c>
      <c r="G7" s="16" t="inlineStr">
        <is>
          <t>Verified in corpus</t>
        </is>
      </c>
      <c r="H7" s="10" t="inlineStr">
        <is>
          <t>'range(': PY p.136,137,138… (19 pgs); DS p.269,310,317… (10 pgs); ODS p.281,310 (2 pgs)</t>
        </is>
      </c>
      <c r="I7" s="16" t="inlineStr">
        <is>
          <t>In-scope</t>
        </is>
      </c>
      <c r="J7" s="16" t="inlineStr">
        <is>
          <t>In-scope</t>
        </is>
      </c>
      <c r="K7" s="11">
        <f>IF(AND(I7&lt;&gt;"",J7&lt;&gt;""),IF(I7=J7,"Agree","DISAGREE"),"")</f>
        <v/>
      </c>
      <c r="L7" s="16" t="inlineStr">
        <is>
          <t>In-scope</t>
        </is>
      </c>
      <c r="M7" s="10" t="inlineStr">
        <is>
          <t>Verified by Claude 21-Jul-2026 (read cited pages; human spot-check advised): PY §5.2 range() arguments table p.136–137.</t>
        </is>
      </c>
    </row>
    <row r="8" ht="42" customHeight="1" s="23">
      <c r="A8" s="11" t="inlineStr">
        <is>
          <t>Q007</t>
        </is>
      </c>
      <c r="B8" s="14" t="inlineStr">
        <is>
          <t>In-scope direct</t>
        </is>
      </c>
      <c r="C8" s="11" t="inlineStr">
        <is>
          <t>Single chunk</t>
        </is>
      </c>
      <c r="D8" s="11" t="inlineStr">
        <is>
          <t>Python fundamentals</t>
        </is>
      </c>
      <c r="E8" s="10" t="inlineStr">
        <is>
          <t>What is variable scope, and how do local and global variables differ?</t>
        </is>
      </c>
      <c r="F8" s="10" t="inlineStr">
        <is>
          <t>Functions / scope section.</t>
        </is>
      </c>
      <c r="G8" s="16" t="inlineStr">
        <is>
          <t>Verified in corpus</t>
        </is>
      </c>
      <c r="H8" s="10" t="inlineStr">
        <is>
          <t>'local variable': PY p.164,166,169… (6 pgs) | 'global variable': PY p.163,166,167… (8 pgs)</t>
        </is>
      </c>
      <c r="I8" s="16" t="inlineStr">
        <is>
          <t>In-scope</t>
        </is>
      </c>
      <c r="J8" s="16" t="inlineStr">
        <is>
          <t>In-scope</t>
        </is>
      </c>
      <c r="K8" s="11">
        <f>IF(AND(I8&lt;&gt;"",J8&lt;&gt;""),IF(I8=J8,"Agree","DISAGREE"),"")</f>
        <v/>
      </c>
      <c r="L8" s="16" t="inlineStr">
        <is>
          <t>In-scope</t>
        </is>
      </c>
      <c r="M8" s="10" t="inlineStr">
        <is>
          <t>Verified by Claude 21-Jul-2026 (read cited pages; human spot-check advised): PY §6.3 Variable scope p.163–166.</t>
        </is>
      </c>
    </row>
    <row r="9" ht="55.5" customHeight="1" s="23">
      <c r="A9" s="11" t="inlineStr">
        <is>
          <t>Q008</t>
        </is>
      </c>
      <c r="B9" s="14" t="inlineStr">
        <is>
          <t>In-scope direct</t>
        </is>
      </c>
      <c r="C9" s="11" t="inlineStr">
        <is>
          <t>Single chunk</t>
        </is>
      </c>
      <c r="D9" s="11" t="inlineStr">
        <is>
          <t>Python fundamentals</t>
        </is>
      </c>
      <c r="E9" s="10" t="inlineStr">
        <is>
          <t>How do default parameter values work in Python function definitions?</t>
        </is>
      </c>
      <c r="F9" s="10" t="inlineStr">
        <is>
          <t>Functions chapter.</t>
        </is>
      </c>
      <c r="G9" s="16" t="inlineStr">
        <is>
          <t>Verified in corpus</t>
        </is>
      </c>
      <c r="H9" s="10" t="inlineStr">
        <is>
          <t>'default parameter': PY p.178,179,180… (7 pgs) | 'default value': PY p.179,180,211… (9 pgs); SE p.58 (1 pgs)</t>
        </is>
      </c>
      <c r="I9" s="16" t="inlineStr">
        <is>
          <t>In-scope</t>
        </is>
      </c>
      <c r="J9" s="16" t="inlineStr">
        <is>
          <t>In-scope</t>
        </is>
      </c>
      <c r="K9" s="11">
        <f>IF(AND(I9&lt;&gt;"",J9&lt;&gt;""),IF(I9=J9,"Agree","DISAGREE"),"")</f>
        <v/>
      </c>
      <c r="L9" s="16" t="inlineStr">
        <is>
          <t>In-scope</t>
        </is>
      </c>
      <c r="M9" s="10" t="inlineStr">
        <is>
          <t>Verified by Claude 21-Jul-2026 (read cited pages; human spot-check advised): PY §6.6 default parameter values p.178–179.</t>
        </is>
      </c>
    </row>
    <row r="10" ht="55.5" customHeight="1" s="23">
      <c r="A10" s="11" t="inlineStr">
        <is>
          <t>Q009</t>
        </is>
      </c>
      <c r="B10" s="14" t="inlineStr">
        <is>
          <t>In-scope direct</t>
        </is>
      </c>
      <c r="C10" s="11" t="inlineStr">
        <is>
          <t>Single chunk</t>
        </is>
      </c>
      <c r="D10" s="11" t="inlineStr">
        <is>
          <t>OOP</t>
        </is>
      </c>
      <c r="E10" s="10" t="inlineStr">
        <is>
          <t>What is the difference between a class and an object?</t>
        </is>
      </c>
      <c r="F10" s="10" t="inlineStr">
        <is>
          <t>OOP fundamentals.</t>
        </is>
      </c>
      <c r="G10" s="16" t="inlineStr">
        <is>
          <t>Verified in corpus</t>
        </is>
      </c>
      <c r="H10" s="10" t="inlineStr">
        <is>
          <t>'object-oriented': PY p.9,275,276… (9 pgs); SE p.55,105 (2 pgs) | 'instance of': PY p.278,279,280… (6 pgs); DS p.74 (1 pgs); SE p.59 (1 pgs)</t>
        </is>
      </c>
      <c r="I10" s="16" t="inlineStr">
        <is>
          <t>In-scope</t>
        </is>
      </c>
      <c r="J10" s="16" t="inlineStr">
        <is>
          <t>In-scope</t>
        </is>
      </c>
      <c r="K10" s="11">
        <f>IF(AND(I10&lt;&gt;"",J10&lt;&gt;""),IF(I10=J10,"Agree","DISAGREE"),"")</f>
        <v/>
      </c>
      <c r="L10" s="16" t="inlineStr">
        <is>
          <t>In-scope</t>
        </is>
      </c>
      <c r="M10" s="10" t="inlineStr">
        <is>
          <t>Verified by Claude 21-Jul-2026 (read cited pages; human spot-check advised): PY §11.1–11.2: class=blueprint, instances p.275–277.</t>
        </is>
      </c>
    </row>
    <row r="11" ht="42" customHeight="1" s="23">
      <c r="A11" s="11" t="inlineStr">
        <is>
          <t>Q010</t>
        </is>
      </c>
      <c r="B11" s="14" t="inlineStr">
        <is>
          <t>In-scope direct</t>
        </is>
      </c>
      <c r="C11" s="11" t="inlineStr">
        <is>
          <t>Single chunk</t>
        </is>
      </c>
      <c r="D11" s="11" t="inlineStr">
        <is>
          <t>OOP</t>
        </is>
      </c>
      <c r="E11" s="10" t="inlineStr">
        <is>
          <t>What is inheritance, and how does a subclass reuse behaviour from its parent class?</t>
        </is>
      </c>
      <c r="F11" s="10" t="inlineStr">
        <is>
          <t>OOP inheritance section.</t>
        </is>
      </c>
      <c r="G11" s="16" t="inlineStr">
        <is>
          <t>Verified in corpus</t>
        </is>
      </c>
      <c r="H11" s="10" t="inlineStr">
        <is>
          <t>'inheritance': PY p.10,313,314… (24 pgs); SE p.60 (1 pgs)</t>
        </is>
      </c>
      <c r="I11" s="16" t="inlineStr">
        <is>
          <t>In-scope</t>
        </is>
      </c>
      <c r="J11" s="16" t="inlineStr">
        <is>
          <t>In-scope</t>
        </is>
      </c>
      <c r="K11" s="11">
        <f>IF(AND(I11&lt;&gt;"",J11&lt;&gt;""),IF(I11=J11,"Agree","DISAGREE"),"")</f>
        <v/>
      </c>
      <c r="L11" s="16" t="inlineStr">
        <is>
          <t>In-scope</t>
        </is>
      </c>
      <c r="M11" s="10" t="inlineStr">
        <is>
          <t>Verified by Claude 21-Jul-2026 (read cited pages; human spot-check advised): PY ch.13 p.313.</t>
        </is>
      </c>
    </row>
    <row r="12" ht="42" customHeight="1" s="23">
      <c r="A12" s="11" t="inlineStr">
        <is>
          <t>Q011</t>
        </is>
      </c>
      <c r="B12" s="14" t="inlineStr">
        <is>
          <t>In-scope direct</t>
        </is>
      </c>
      <c r="C12" s="11" t="inlineStr">
        <is>
          <t>Single chunk</t>
        </is>
      </c>
      <c r="D12" s="11" t="inlineStr">
        <is>
          <t>OOP</t>
        </is>
      </c>
      <c r="E12" s="10" t="inlineStr">
        <is>
          <t>What is the purpose of the __init__ method in a Python class?</t>
        </is>
      </c>
      <c r="F12" s="10" t="inlineStr">
        <is>
          <t>Class definition section.</t>
        </is>
      </c>
      <c r="G12" s="16" t="inlineStr">
        <is>
          <t>Verified in corpus</t>
        </is>
      </c>
      <c r="H12" s="10" t="inlineStr">
        <is>
          <t>'__init__': PY p.277,278,279… (33 pgs); DS p.500 (1 pgs)</t>
        </is>
      </c>
      <c r="I12" s="16" t="inlineStr">
        <is>
          <t>In-scope</t>
        </is>
      </c>
      <c r="J12" s="16" t="inlineStr">
        <is>
          <t>In-scope</t>
        </is>
      </c>
      <c r="K12" s="11">
        <f>IF(AND(I12&lt;&gt;"",J12&lt;&gt;""),IF(I12=J12,"Agree","DISAGREE"),"")</f>
        <v/>
      </c>
      <c r="L12" s="16" t="inlineStr">
        <is>
          <t>In-scope</t>
        </is>
      </c>
      <c r="M12" s="10" t="inlineStr">
        <is>
          <t>Verified by Claude 21-Jul-2026 (read cited pages; human spot-check advised): PY §11.2 __init__ p.277–278.</t>
        </is>
      </c>
    </row>
    <row r="13" ht="42" customHeight="1" s="23">
      <c r="A13" s="11" t="inlineStr">
        <is>
          <t>Q012</t>
        </is>
      </c>
      <c r="B13" s="14" t="inlineStr">
        <is>
          <t>In-scope direct</t>
        </is>
      </c>
      <c r="C13" s="11" t="inlineStr">
        <is>
          <t>Single chunk</t>
        </is>
      </c>
      <c r="D13" s="11" t="inlineStr">
        <is>
          <t>OOP</t>
        </is>
      </c>
      <c r="E13" s="10" t="inlineStr">
        <is>
          <t>What is method overriding and when does it occur?</t>
        </is>
      </c>
      <c r="F13" s="10" t="inlineStr">
        <is>
          <t>Inheritance section.</t>
        </is>
      </c>
      <c r="G13" s="16" t="inlineStr">
        <is>
          <t>Verified in corpus</t>
        </is>
      </c>
      <c r="H13" s="10" t="inlineStr">
        <is>
          <t>'overrid': PY p.320,321,322… (12 pgs); SE p.94 (1 pgs)</t>
        </is>
      </c>
      <c r="I13" s="16" t="inlineStr">
        <is>
          <t>In-scope</t>
        </is>
      </c>
      <c r="J13" s="16" t="inlineStr">
        <is>
          <t>In-scope</t>
        </is>
      </c>
      <c r="K13" s="11">
        <f>IF(AND(I13&lt;&gt;"",J13&lt;&gt;""),IF(I13=J13,"Agree","DISAGREE"),"")</f>
        <v/>
      </c>
      <c r="L13" s="16" t="inlineStr">
        <is>
          <t>In-scope</t>
        </is>
      </c>
      <c r="M13" s="10" t="inlineStr">
        <is>
          <t>Verified by Claude 21-Jul-2026 (read cited pages; human spot-check advised): PY §13.3 Overriding p.320–321.</t>
        </is>
      </c>
    </row>
    <row r="14" ht="42" customHeight="1" s="23">
      <c r="A14" s="11" t="inlineStr">
        <is>
          <t>Q013</t>
        </is>
      </c>
      <c r="B14" s="14" t="inlineStr">
        <is>
          <t>In-scope direct</t>
        </is>
      </c>
      <c r="C14" s="11" t="inlineStr">
        <is>
          <t>Single chunk</t>
        </is>
      </c>
      <c r="D14" s="11" t="inlineStr">
        <is>
          <t>OOP</t>
        </is>
      </c>
      <c r="E14" s="10" t="inlineStr">
        <is>
          <t>What is encapsulation, and how is it typically achieved in Python?</t>
        </is>
      </c>
      <c r="F14" s="10" t="inlineStr">
        <is>
          <t>OOP principles.</t>
        </is>
      </c>
      <c r="G14" s="16" t="inlineStr">
        <is>
          <t>Verified in corpus</t>
        </is>
      </c>
      <c r="H14" s="10" t="inlineStr">
        <is>
          <t>'encapsulation': PY p.275,276,293… (4 pgs); SE p.105 (1 pgs)</t>
        </is>
      </c>
      <c r="I14" s="16" t="inlineStr">
        <is>
          <t>In-scope</t>
        </is>
      </c>
      <c r="J14" s="16" t="inlineStr">
        <is>
          <t>In-scope</t>
        </is>
      </c>
      <c r="K14" s="11">
        <f>IF(AND(I14&lt;&gt;"",J14&lt;&gt;""),IF(I14=J14,"Agree","DISAGREE"),"")</f>
        <v/>
      </c>
      <c r="L14" s="16" t="inlineStr">
        <is>
          <t>In-scope</t>
        </is>
      </c>
      <c r="M14" s="10" t="inlineStr">
        <is>
          <t>Verified by Claude 21-Jul-2026 (read cited pages; human spot-check advised): PY §11.1 encapsulation p.275–276.</t>
        </is>
      </c>
    </row>
    <row r="15" ht="42" customHeight="1" s="23">
      <c r="A15" s="11" t="inlineStr">
        <is>
          <t>Q014</t>
        </is>
      </c>
      <c r="B15" s="14" t="inlineStr">
        <is>
          <t>In-scope direct</t>
        </is>
      </c>
      <c r="C15" s="11" t="inlineStr">
        <is>
          <t>Single chunk</t>
        </is>
      </c>
      <c r="D15" s="11" t="inlineStr">
        <is>
          <t>OOP</t>
        </is>
      </c>
      <c r="E15" s="10" t="inlineStr">
        <is>
          <t>What is polymorphism in object-oriented programming?</t>
        </is>
      </c>
      <c r="F15" s="10" t="inlineStr">
        <is>
          <t>OOP principles.</t>
        </is>
      </c>
      <c r="G15" s="16" t="inlineStr">
        <is>
          <t>Verified in corpus</t>
        </is>
      </c>
      <c r="H15" s="10" t="inlineStr">
        <is>
          <t>'polymorphism': PY p.320,322,323… (8 pgs)</t>
        </is>
      </c>
      <c r="I15" s="16" t="inlineStr">
        <is>
          <t>In-scope</t>
        </is>
      </c>
      <c r="J15" s="16" t="inlineStr">
        <is>
          <t>In-scope</t>
        </is>
      </c>
      <c r="K15" s="11">
        <f>IF(AND(I15&lt;&gt;"",J15&lt;&gt;""),IF(I15=J15,"Agree","DISAGREE"),"")</f>
        <v/>
      </c>
      <c r="L15" s="16" t="inlineStr">
        <is>
          <t>In-scope</t>
        </is>
      </c>
      <c r="M15" s="10" t="inlineStr">
        <is>
          <t>Verified by Claude 21-Jul-2026 (read cited pages; human spot-check advised): PY §13.3 polymorphism p.322.</t>
        </is>
      </c>
    </row>
    <row r="16" ht="84" customHeight="1" s="23">
      <c r="A16" s="11" t="inlineStr">
        <is>
          <t>Q015</t>
        </is>
      </c>
      <c r="B16" s="14" t="inlineStr">
        <is>
          <t>In-scope direct</t>
        </is>
      </c>
      <c r="C16" s="11" t="inlineStr">
        <is>
          <t>Single chunk</t>
        </is>
      </c>
      <c r="D16" s="11" t="inlineStr">
        <is>
          <t>Data structures</t>
        </is>
      </c>
      <c r="E16" s="10" t="inlineStr">
        <is>
          <t>How does a stack differ from a queue?</t>
        </is>
      </c>
      <c r="F16" s="10" t="inlineStr">
        <is>
          <t>LIFO vs FIFO.</t>
        </is>
      </c>
      <c r="G16" s="16" t="inlineStr">
        <is>
          <t>Verified in corpus</t>
        </is>
      </c>
      <c r="H16" s="10" t="inlineStr">
        <is>
          <t>'stack': PY p.42,43,44… (4 pgs); DS p.135,368,372… (4 pgs); ODS p.3,4,17… (54 pgs); SE p.63,71,74… (4 pgs) | 'queue': DS p.144 (1 pgs); ODS p.3,4,17… (36 pgs)</t>
        </is>
      </c>
      <c r="I16" s="16" t="inlineStr">
        <is>
          <t>Tangential</t>
        </is>
      </c>
      <c r="J16" s="16" t="inlineStr">
        <is>
          <t>In-scope</t>
        </is>
      </c>
      <c r="K16" s="11">
        <f>IF(AND(I16&lt;&gt;"",J16&lt;&gt;""),IF(I16=J16,"Agree","DISAGREE"),"")</f>
        <v/>
      </c>
      <c r="L16" s="16" t="inlineStr">
        <is>
          <t>In-scope</t>
        </is>
      </c>
      <c r="M16" s="10" t="inlineStr">
        <is>
          <t>Verified by Claude 21-Jul-2026 (read cited pages; human spot-check advised): ODS §1.2 FIFO queue vs LIFO stack, Figs 1.2–1.3 (p.17–18). NOTE: evidence column's PY hits were 'Stack Overflow' website — use ODS. || ADJUDICATED (LLM-applied rules, pending author ratification): Rule 3 — ODS §1.2 defines and contrasts FIFO queue vs LIFO stack with figures (p.17–18); ch.2 implements both.</t>
        </is>
      </c>
    </row>
    <row r="17" ht="84" customHeight="1" s="23">
      <c r="A17" s="11" t="inlineStr">
        <is>
          <t>Q016</t>
        </is>
      </c>
      <c r="B17" s="14" t="inlineStr">
        <is>
          <t>In-scope direct</t>
        </is>
      </c>
      <c r="C17" s="11" t="inlineStr">
        <is>
          <t>Single chunk</t>
        </is>
      </c>
      <c r="D17" s="11" t="inlineStr">
        <is>
          <t>Data science (pandas)</t>
        </is>
      </c>
      <c r="E17" s="10" t="inlineStr">
        <is>
          <t>What is a pandas DataFrame and how does it differ from a Series?</t>
        </is>
      </c>
      <c r="F17" s="10" t="inlineStr">
        <is>
          <t>REWRITTEN v2 (was: linked list — not covered). Pandas core structures in DS book.</t>
        </is>
      </c>
      <c r="G17" s="16" t="inlineStr">
        <is>
          <t>Verified in corpus</t>
        </is>
      </c>
      <c r="H17" s="10" t="inlineStr">
        <is>
          <t>'dataframe': PY p.364,365,366… (19 pgs); DS p.48,49,51… (38 pgs) | 'series': PY p.132,201,364… (9 pgs); DS p.8,12,13… (98 pgs); ODS p.22,126,183… (5 pgs); SE p.20,53,113… (4 pgs)</t>
        </is>
      </c>
      <c r="I17" s="16" t="inlineStr">
        <is>
          <t>Tangential</t>
        </is>
      </c>
      <c r="J17" s="16" t="inlineStr">
        <is>
          <t>In-scope</t>
        </is>
      </c>
      <c r="K17" s="11">
        <f>IF(AND(I17&lt;&gt;"",J17&lt;&gt;""),IF(I17=J17,"Agree","DISAGREE"),"")</f>
        <v/>
      </c>
      <c r="L17" s="16" t="inlineStr">
        <is>
          <t>In-scope</t>
        </is>
      </c>
      <c r="M17" s="10" t="inlineStr">
        <is>
          <t>Verified by Claude 21-Jul-2026 (read cited pages; human spot-check advised): PY §15.3 + DS p.48 'DataFrame versus Series'. || ADJUDICATED (LLM-applied rules, pending author ratification): Rule 3 — PY §15.3 + DS p.48 section literally titled 'DataFrame versus Series'.</t>
        </is>
      </c>
    </row>
    <row r="18" ht="42" customHeight="1" s="23">
      <c r="A18" s="11" t="inlineStr">
        <is>
          <t>Q017</t>
        </is>
      </c>
      <c r="B18" s="14" t="inlineStr">
        <is>
          <t>In-scope direct</t>
        </is>
      </c>
      <c r="C18" s="11" t="inlineStr">
        <is>
          <t>Single chunk</t>
        </is>
      </c>
      <c r="D18" s="11" t="inlineStr">
        <is>
          <t>Data structures</t>
        </is>
      </c>
      <c r="E18" s="10" t="inlineStr">
        <is>
          <t>How does a dictionary (hash table) achieve fast lookups?</t>
        </is>
      </c>
      <c r="F18" s="10" t="inlineStr">
        <is>
          <t>Hashing section.</t>
        </is>
      </c>
      <c r="G18" s="16" t="inlineStr">
        <is>
          <t>Verified in corpus</t>
        </is>
      </c>
      <c r="H18" s="10" t="inlineStr">
        <is>
          <t>'hash table': ODS p.5,37,113… (29 pgs) | 'hashing': DS p.405,406,407… (5 pgs); ODS p.5,113,115… (29 pgs)</t>
        </is>
      </c>
      <c r="I18" s="16" t="inlineStr">
        <is>
          <t>In-scope</t>
        </is>
      </c>
      <c r="J18" s="16" t="inlineStr">
        <is>
          <t>In-scope</t>
        </is>
      </c>
      <c r="K18" s="11">
        <f>IF(AND(I18&lt;&gt;"",J18&lt;&gt;""),IF(I18=J18,"Agree","DISAGREE"),"")</f>
        <v/>
      </c>
      <c r="L18" s="16" t="inlineStr">
        <is>
          <t>In-scope</t>
        </is>
      </c>
      <c r="M18" s="10" t="inlineStr">
        <is>
          <t>Verified by Claude 21-Jul-2026 (read cited pages; human spot-check advised): ODS ch.5 hashing (chaining, probing, analysis).</t>
        </is>
      </c>
    </row>
    <row r="19" ht="69.75" customHeight="1" s="23">
      <c r="A19" s="11" t="inlineStr">
        <is>
          <t>Q018</t>
        </is>
      </c>
      <c r="B19" s="14" t="inlineStr">
        <is>
          <t>In-scope direct</t>
        </is>
      </c>
      <c r="C19" s="11" t="inlineStr">
        <is>
          <t>Single chunk</t>
        </is>
      </c>
      <c r="D19" s="11" t="inlineStr">
        <is>
          <t>Data science (NumPy)</t>
        </is>
      </c>
      <c r="E19" s="10" t="inlineStr">
        <is>
          <t>What is a NumPy array, and what is the NumPy library used for?</t>
        </is>
      </c>
      <c r="F19" s="10" t="inlineStr">
        <is>
          <t>REWRITTEN v2 (was: binary search tree — not covered). NumPy arrays in DS book. | NARROWED v3.1: list-comparison angle unconfirmed in corpus; PY §15.2 teaches NumPy arrays directly.</t>
        </is>
      </c>
      <c r="G19" s="16" t="inlineStr">
        <is>
          <t>Verified in corpus</t>
        </is>
      </c>
      <c r="H19" s="10" t="inlineStr">
        <is>
          <t>'numpy': PY p.10,201,359… (18 pgs); DS p.40,173,175… (16 pgs)</t>
        </is>
      </c>
      <c r="I19" s="16" t="inlineStr">
        <is>
          <t>In-scope</t>
        </is>
      </c>
      <c r="J19" s="16" t="inlineStr">
        <is>
          <t>In-scope</t>
        </is>
      </c>
      <c r="K19" s="11">
        <f>IF(AND(I19&lt;&gt;"",J19&lt;&gt;""),IF(I19=J19,"Agree","DISAGREE"),"")</f>
        <v/>
      </c>
      <c r="L19" s="16" t="inlineStr">
        <is>
          <t>In-scope</t>
        </is>
      </c>
      <c r="M19" s="10" t="inlineStr">
        <is>
          <t>Verified by Claude 21-Jul-2026 (read cited pages; human spot-check advised): PY §15.2 (LOs: describe numpy, create numpy array).</t>
        </is>
      </c>
    </row>
    <row r="20" ht="55.5" customHeight="1" s="23">
      <c r="A20" s="11" t="inlineStr">
        <is>
          <t>Q019</t>
        </is>
      </c>
      <c r="B20" s="14" t="inlineStr">
        <is>
          <t>In-scope direct</t>
        </is>
      </c>
      <c r="C20" s="11" t="inlineStr">
        <is>
          <t>Single chunk</t>
        </is>
      </c>
      <c r="D20" s="11" t="inlineStr">
        <is>
          <t>Data structures</t>
        </is>
      </c>
      <c r="E20" s="10" t="inlineStr">
        <is>
          <t>What are the time complexities of appending to and inserting into a Python list?</t>
        </is>
      </c>
      <c r="F20" s="10" t="inlineStr">
        <is>
          <t>List operations / complexity.</t>
        </is>
      </c>
      <c r="G20" s="16" t="inlineStr">
        <is>
          <t>Verified in corpus</t>
        </is>
      </c>
      <c r="H20" s="10" t="inlineStr">
        <is>
          <t>'time complexity': ODS p.3,31,326 (3 pgs) | 'append(': PY p.97,233,234… (7 pgs); DS p.310,364,365… (4 pgs); ODS p.66,83,85… (6 pgs)</t>
        </is>
      </c>
      <c r="I20" s="16" t="inlineStr">
        <is>
          <t>In-scope</t>
        </is>
      </c>
      <c r="J20" s="16" t="inlineStr">
        <is>
          <t>Tangential</t>
        </is>
      </c>
      <c r="K20" s="11">
        <f>IF(AND(I20&lt;&gt;"",J20&lt;&gt;""),IF(I20=J20,"Agree","DISAGREE"),"")</f>
        <v/>
      </c>
      <c r="L20" s="16" t="inlineStr">
        <is>
          <t>In-scope</t>
        </is>
      </c>
      <c r="M20" s="10" t="inlineStr">
        <is>
          <t>Verified by Claude 21-Jul-2026 (read cited pages; human spot-check advised): ODS §2.1 ArrayStack add/remove analysis (≈ Python list ops). || ADJUDICATED (LLM-applied rules, pending author ratification): Rule 1+3 — ODS §2.1 teaches array-based list add/remove costs incl. amortized resize; concept maps to Python lists.</t>
        </is>
      </c>
    </row>
    <row r="21" ht="84" customHeight="1" s="23">
      <c r="A21" s="11" t="inlineStr">
        <is>
          <t>Q020</t>
        </is>
      </c>
      <c r="B21" s="14" t="inlineStr">
        <is>
          <t>In-scope direct</t>
        </is>
      </c>
      <c r="C21" s="11" t="inlineStr">
        <is>
          <t>Single chunk</t>
        </is>
      </c>
      <c r="D21" s="11" t="inlineStr">
        <is>
          <t>Python fundamentals</t>
        </is>
      </c>
      <c r="E21" s="10" t="inlineStr">
        <is>
          <t>How do you loop over the keys and values of a Python dictionary?</t>
        </is>
      </c>
      <c r="F21" s="10" t="inlineStr">
        <is>
          <t>REWRITTEN v2 (was: graph/adjacency list — not covered). Sets in the Python book. | REWRITTEN v3.1 (was: set operations — REJECTED: 'union/intersection' hits were European Union + pandas label intersection; PY book has no sets chapter).</t>
        </is>
      </c>
      <c r="G21" s="16" t="inlineStr">
        <is>
          <t>Verified in corpus</t>
        </is>
      </c>
      <c r="H21" s="10" t="inlineStr">
        <is>
          <t>'union': DS p.4,380,381… (4 pgs) | 'intersection': PY p.373 (1 pgs); DS p.144,377,408… (5 pgs); ODS p.251 (1 pgs)</t>
        </is>
      </c>
      <c r="I21" s="16" t="inlineStr">
        <is>
          <t>In-scope</t>
        </is>
      </c>
      <c r="J21" s="16" t="inlineStr">
        <is>
          <t>In-scope</t>
        </is>
      </c>
      <c r="K21" s="11">
        <f>IF(AND(I21&lt;&gt;"",J21&lt;&gt;""),IF(I21=J21,"Agree","DISAGREE"),"")</f>
        <v/>
      </c>
      <c r="L21" s="16" t="inlineStr">
        <is>
          <t>In-scope</t>
        </is>
      </c>
      <c r="M21" s="10" t="inlineStr">
        <is>
          <t>Verified by Claude 21-Jul-2026 (read cited pages; human spot-check advised): PY §10.4 Conditionals and looping in dictionaries.</t>
        </is>
      </c>
    </row>
    <row r="22" ht="55.5" customHeight="1" s="23">
      <c r="A22" s="11" t="inlineStr">
        <is>
          <t>Q021</t>
        </is>
      </c>
      <c r="B22" s="14" t="inlineStr">
        <is>
          <t>In-scope direct</t>
        </is>
      </c>
      <c r="C22" s="11" t="inlineStr">
        <is>
          <t>Single chunk</t>
        </is>
      </c>
      <c r="D22" s="11" t="inlineStr">
        <is>
          <t>Algorithms</t>
        </is>
      </c>
      <c r="E22" s="10" t="inlineStr">
        <is>
          <t>How does binary search work and what is its time complexity?</t>
        </is>
      </c>
      <c r="F22" s="10" t="inlineStr">
        <is>
          <t>Searching chapter.</t>
        </is>
      </c>
      <c r="G22" s="16" t="inlineStr">
        <is>
          <t>Verified in corpus</t>
        </is>
      </c>
      <c r="H22" s="10" t="inlineStr">
        <is>
          <t>'binary search': PY p.308,309,408 (3 pgs); ODS p.5,6,22… (58 pgs)</t>
        </is>
      </c>
      <c r="I22" s="16" t="inlineStr">
        <is>
          <t>In-scope</t>
        </is>
      </c>
      <c r="J22" s="16" t="inlineStr">
        <is>
          <t>In-scope</t>
        </is>
      </c>
      <c r="K22" s="11">
        <f>IF(AND(I22&lt;&gt;"",J22&lt;&gt;""),IF(I22=J22,"Agree","DISAGREE"),"")</f>
        <v/>
      </c>
      <c r="L22" s="16" t="inlineStr">
        <is>
          <t>In-scope</t>
        </is>
      </c>
      <c r="M22" s="10" t="inlineStr">
        <is>
          <t>Verified by Claude 21-Jul-2026 (read cited pages; human spot-check advised): PY §12.5 binary search (halving); complexity via ODS.</t>
        </is>
      </c>
    </row>
    <row r="23" ht="69.75" customHeight="1" s="23">
      <c r="A23" s="11" t="inlineStr">
        <is>
          <t>Q022</t>
        </is>
      </c>
      <c r="B23" s="14" t="inlineStr">
        <is>
          <t>In-scope direct</t>
        </is>
      </c>
      <c r="C23" s="11" t="inlineStr">
        <is>
          <t>Single chunk</t>
        </is>
      </c>
      <c r="D23" s="11" t="inlineStr">
        <is>
          <t>Python fundamentals</t>
        </is>
      </c>
      <c r="E23" s="10" t="inlineStr">
        <is>
          <t>What does the list sort() method do, and how does it order strings?</t>
        </is>
      </c>
      <c r="F23" s="10" t="inlineStr">
        <is>
          <t>REWRITTEN v2 (was: bubble vs merge sort — not covered). Built-in sorting covered. | REWRITTEN v3.1 (was: sorted() vs sort() — sorted() appears only in unexplained DS code).</t>
        </is>
      </c>
      <c r="G23" s="16" t="inlineStr">
        <is>
          <t>Verified in corpus</t>
        </is>
      </c>
      <c r="H23" s="10" t="inlineStr">
        <is>
          <t>'sorted(': DS p.333 (1 pgs) | 'sort(': PY p.236,237,238… (5 pgs); ODS p.92,230,231… (16 pgs)</t>
        </is>
      </c>
      <c r="I23" s="16" t="inlineStr">
        <is>
          <t>Tangential</t>
        </is>
      </c>
      <c r="J23" s="16" t="inlineStr">
        <is>
          <t>In-scope</t>
        </is>
      </c>
      <c r="K23" s="11">
        <f>IF(AND(I23&lt;&gt;"",J23&lt;&gt;""),IF(I23=J23,"Agree","DISAGREE"),"")</f>
        <v/>
      </c>
      <c r="L23" s="16" t="inlineStr">
        <is>
          <t>In-scope</t>
        </is>
      </c>
      <c r="M23" s="10" t="inlineStr">
        <is>
          <t>Verified by Claude 21-Jul-2026 (read cited pages; human spot-check advised): PY §9.2 p.236–237 incl. ASCII ordering caveat. || ADJUDICATED (LLM-applied rules, pending author ratification): Rule 3 — PY §9.2 p.236–237 teaches sort() incl. ASCII string-ordering caveat.</t>
        </is>
      </c>
    </row>
    <row r="24" ht="55.5" customHeight="1" s="23">
      <c r="A24" s="11" t="inlineStr">
        <is>
          <t>Q023</t>
        </is>
      </c>
      <c r="B24" s="14" t="inlineStr">
        <is>
          <t>In-scope direct</t>
        </is>
      </c>
      <c r="C24" s="11" t="inlineStr">
        <is>
          <t>Single chunk</t>
        </is>
      </c>
      <c r="D24" s="11" t="inlineStr">
        <is>
          <t>Algorithms</t>
        </is>
      </c>
      <c r="E24" s="10" t="inlineStr">
        <is>
          <t>What is recursion, and what role does the base case play?</t>
        </is>
      </c>
      <c r="F24" s="10" t="inlineStr">
        <is>
          <t>Recursion chapter.</t>
        </is>
      </c>
      <c r="G24" s="16" t="inlineStr">
        <is>
          <t>Verified in corpus</t>
        </is>
      </c>
      <c r="H24" s="10" t="inlineStr">
        <is>
          <t>'recursion': PY p.9,297,298… (21 pgs); ODS p.91,142,144… (11 pgs) | 'base case': PY p.299,300,302… (11 pgs); ODS p.210,224,233 (3 pgs)</t>
        </is>
      </c>
      <c r="I24" s="16" t="inlineStr">
        <is>
          <t>In-scope</t>
        </is>
      </c>
      <c r="J24" s="16" t="inlineStr">
        <is>
          <t>In-scope</t>
        </is>
      </c>
      <c r="K24" s="11">
        <f>IF(AND(I24&lt;&gt;"",J24&lt;&gt;""),IF(I24=J24,"Agree","DISAGREE"),"")</f>
        <v/>
      </c>
      <c r="L24" s="16" t="inlineStr">
        <is>
          <t>In-scope</t>
        </is>
      </c>
      <c r="M24" s="10" t="inlineStr">
        <is>
          <t>Verified by Claude 21-Jul-2026 (read cited pages; human spot-check advised): PY §12.1–12.2; base case p.300.</t>
        </is>
      </c>
    </row>
    <row r="25" ht="42" customHeight="1" s="23">
      <c r="A25" s="11" t="inlineStr">
        <is>
          <t>Q024</t>
        </is>
      </c>
      <c r="B25" s="14" t="inlineStr">
        <is>
          <t>In-scope direct</t>
        </is>
      </c>
      <c r="C25" s="11" t="inlineStr">
        <is>
          <t>Single chunk</t>
        </is>
      </c>
      <c r="D25" s="11" t="inlineStr">
        <is>
          <t>Data science</t>
        </is>
      </c>
      <c r="E25" s="10" t="inlineStr">
        <is>
          <t>What does a histogram show about the distribution of a variable?</t>
        </is>
      </c>
      <c r="F25" s="10" t="inlineStr">
        <is>
          <t>REWRITTEN v2 (was: Big-O — not covered). Histograms in DS book.</t>
        </is>
      </c>
      <c r="G25" s="16" t="inlineStr">
        <is>
          <t>Verified in corpus</t>
        </is>
      </c>
      <c r="H25" s="10" t="inlineStr">
        <is>
          <t>'histogram': PY p.379,383,385… (6 pgs); DS p.13,40,89… (22 pgs)</t>
        </is>
      </c>
      <c r="I25" s="16" t="inlineStr">
        <is>
          <t>In-scope</t>
        </is>
      </c>
      <c r="J25" s="16" t="inlineStr">
        <is>
          <t>In-scope</t>
        </is>
      </c>
      <c r="K25" s="11">
        <f>IF(AND(I25&lt;&gt;"",J25&lt;&gt;""),IF(I25=J25,"Agree","DISAGREE"),"")</f>
        <v/>
      </c>
      <c r="L25" s="16" t="inlineStr">
        <is>
          <t>In-scope</t>
        </is>
      </c>
      <c r="M25" s="10" t="inlineStr">
        <is>
          <t>Verified by Claude 21-Jul-2026 (read cited pages; human spot-check advised): PY §15.5 p.379,383 + DS p.434.</t>
        </is>
      </c>
    </row>
    <row r="26" ht="42" customHeight="1" s="23">
      <c r="A26" s="11" t="inlineStr">
        <is>
          <t>Q025</t>
        </is>
      </c>
      <c r="B26" s="14" t="inlineStr">
        <is>
          <t>In-scope direct</t>
        </is>
      </c>
      <c r="C26" s="11" t="inlineStr">
        <is>
          <t>Single chunk</t>
        </is>
      </c>
      <c r="D26" s="11" t="inlineStr">
        <is>
          <t>ML basics</t>
        </is>
      </c>
      <c r="E26" s="10" t="inlineStr">
        <is>
          <t>How does k-means clustering group data points?</t>
        </is>
      </c>
      <c r="F26" s="10" t="inlineStr">
        <is>
          <t>REWRITTEN v2 (was: DFS vs BFS — not covered). Clustering in DS book.</t>
        </is>
      </c>
      <c r="G26" s="16" t="inlineStr">
        <is>
          <t>Verified in corpus</t>
        </is>
      </c>
      <c r="H26" s="10" t="inlineStr">
        <is>
          <t>'k-means': DS p.282,288,293… (14 pgs) | 'kmeans': DS p.299,304,545… (4 pgs)</t>
        </is>
      </c>
      <c r="I26" s="16" t="inlineStr">
        <is>
          <t>In-scope</t>
        </is>
      </c>
      <c r="J26" s="16" t="inlineStr">
        <is>
          <t>In-scope</t>
        </is>
      </c>
      <c r="K26" s="11">
        <f>IF(AND(I26&lt;&gt;"",J26&lt;&gt;""),IF(I26=J26,"Agree","DISAGREE"),"")</f>
        <v/>
      </c>
      <c r="L26" s="16" t="inlineStr">
        <is>
          <t>In-scope</t>
        </is>
      </c>
      <c r="M26" s="10" t="inlineStr">
        <is>
          <t>Verified by Claude 21-Jul-2026 (read cited pages; human spot-check advised): DS §6.2 k-means p.288,299.</t>
        </is>
      </c>
    </row>
    <row r="27" ht="42" customHeight="1" s="23">
      <c r="A27" s="11" t="inlineStr">
        <is>
          <t>Q026</t>
        </is>
      </c>
      <c r="B27" s="14" t="inlineStr">
        <is>
          <t>In-scope direct</t>
        </is>
      </c>
      <c r="C27" s="11" t="inlineStr">
        <is>
          <t>Single chunk</t>
        </is>
      </c>
      <c r="D27" s="11" t="inlineStr">
        <is>
          <t>Data science</t>
        </is>
      </c>
      <c r="E27" s="10" t="inlineStr">
        <is>
          <t>What are the typical stages of a data-science workflow?</t>
        </is>
      </c>
      <c r="F27" s="10" t="inlineStr">
        <is>
          <t>DS lifecycle material.</t>
        </is>
      </c>
      <c r="G27" s="16" t="inlineStr">
        <is>
          <t>Verified in corpus</t>
        </is>
      </c>
      <c r="H27" s="10" t="inlineStr">
        <is>
          <t>'data science lifecycle': DS p.426 (1 pgs) | 'data science process': DS p.19,40,65… (5 pgs)</t>
        </is>
      </c>
      <c r="I27" s="16" t="inlineStr">
        <is>
          <t>Out-of-scope</t>
        </is>
      </c>
      <c r="J27" s="16" t="inlineStr">
        <is>
          <t>In-scope</t>
        </is>
      </c>
      <c r="K27" s="11">
        <f>IF(AND(I27&lt;&gt;"",J27&lt;&gt;""),IF(I27=J27,"Agree","DISAGREE"),"")</f>
        <v/>
      </c>
      <c r="L27" s="16" t="inlineStr">
        <is>
          <t>In-scope</t>
        </is>
      </c>
      <c r="M27" s="10" t="inlineStr">
        <is>
          <t>Verified by Claude 21-Jul-2026 (read cited pages; human spot-check advised): DS §1.1 data science cycle (LO 1.1.2). || ADJUDICATED (LLM-applied rules, pending author ratification): Rule 3 — DS §1.1 LO 1.1.2: 'explain the data science cycle and goals of each step'.</t>
        </is>
      </c>
    </row>
    <row r="28" ht="42" customHeight="1" s="23">
      <c r="A28" s="11" t="inlineStr">
        <is>
          <t>Q027</t>
        </is>
      </c>
      <c r="B28" s="14" t="inlineStr">
        <is>
          <t>In-scope direct</t>
        </is>
      </c>
      <c r="C28" s="11" t="inlineStr">
        <is>
          <t>Single chunk</t>
        </is>
      </c>
      <c r="D28" s="11" t="inlineStr">
        <is>
          <t>Data science</t>
        </is>
      </c>
      <c r="E28" s="10" t="inlineStr">
        <is>
          <t>What is data cleaning and why is it important before analysis?</t>
        </is>
      </c>
      <c r="F28" s="10" t="inlineStr">
        <is>
          <t>Preprocessing section.</t>
        </is>
      </c>
      <c r="G28" s="16" t="inlineStr">
        <is>
          <t>Verified in corpus</t>
        </is>
      </c>
      <c r="H28" s="10" t="inlineStr">
        <is>
          <t>'data cleaning': PY p.360,364,375… (5 pgs); DS p.7,69,83… (19 pgs)</t>
        </is>
      </c>
      <c r="I28" s="16" t="inlineStr">
        <is>
          <t>In-scope</t>
        </is>
      </c>
      <c r="J28" s="16" t="inlineStr">
        <is>
          <t>In-scope</t>
        </is>
      </c>
      <c r="K28" s="11">
        <f>IF(AND(I28&lt;&gt;"",J28&lt;&gt;""),IF(I28=J28,"Agree","DISAGREE"),"")</f>
        <v/>
      </c>
      <c r="L28" s="16" t="inlineStr">
        <is>
          <t>In-scope</t>
        </is>
      </c>
      <c r="M28" s="10" t="inlineStr">
        <is>
          <t>Verified by Claude 21-Jul-2026 (read cited pages; human spot-check advised): DS §2.4 Data cleaning and preprocessing.</t>
        </is>
      </c>
    </row>
    <row r="29" ht="42" customHeight="1" s="23">
      <c r="A29" s="11" t="inlineStr">
        <is>
          <t>Q028</t>
        </is>
      </c>
      <c r="B29" s="14" t="inlineStr">
        <is>
          <t>In-scope direct</t>
        </is>
      </c>
      <c r="C29" s="11" t="inlineStr">
        <is>
          <t>Single chunk</t>
        </is>
      </c>
      <c r="D29" s="11" t="inlineStr">
        <is>
          <t>Data science</t>
        </is>
      </c>
      <c r="E29" s="10" t="inlineStr">
        <is>
          <t>What is the difference between structured and unstructured data?</t>
        </is>
      </c>
      <c r="F29" s="10" t="inlineStr">
        <is>
          <t>Data types section.</t>
        </is>
      </c>
      <c r="G29" s="16" t="inlineStr">
        <is>
          <t>Verified in corpus</t>
        </is>
      </c>
      <c r="H29" s="10" t="inlineStr">
        <is>
          <t>'unstructured data': DS p.23,30,31… (9 pgs)</t>
        </is>
      </c>
      <c r="I29" s="16" t="inlineStr">
        <is>
          <t>In-scope</t>
        </is>
      </c>
      <c r="J29" s="16" t="inlineStr">
        <is>
          <t>In-scope</t>
        </is>
      </c>
      <c r="K29" s="11">
        <f>IF(AND(I29&lt;&gt;"",J29&lt;&gt;""),IF(I29=J29,"Agree","DISAGREE"),"")</f>
        <v/>
      </c>
      <c r="L29" s="16" t="inlineStr">
        <is>
          <t>In-scope</t>
        </is>
      </c>
      <c r="M29" s="10" t="inlineStr">
        <is>
          <t>Verified by Claude 21-Jul-2026 (read cited pages; human spot-check advised): DS p.30 structured vs unstructured.</t>
        </is>
      </c>
    </row>
    <row r="30" ht="42" customHeight="1" s="23">
      <c r="A30" s="11" t="inlineStr">
        <is>
          <t>Q029</t>
        </is>
      </c>
      <c r="B30" s="14" t="inlineStr">
        <is>
          <t>In-scope direct</t>
        </is>
      </c>
      <c r="C30" s="11" t="inlineStr">
        <is>
          <t>Single chunk</t>
        </is>
      </c>
      <c r="D30" s="11" t="inlineStr">
        <is>
          <t>Data science</t>
        </is>
      </c>
      <c r="E30" s="10" t="inlineStr">
        <is>
          <t>What is exploratory data analysis and what does it aim to discover?</t>
        </is>
      </c>
      <c r="F30" s="10" t="inlineStr">
        <is>
          <t>EDA section.</t>
        </is>
      </c>
      <c r="G30" s="16" t="inlineStr">
        <is>
          <t>Verified in corpus</t>
        </is>
      </c>
      <c r="H30" s="10" t="inlineStr">
        <is>
          <t>'exploratory data analysis': PY p.10,359,372… (9 pgs); DS p.434,482 (2 pgs)</t>
        </is>
      </c>
      <c r="I30" s="16" t="inlineStr">
        <is>
          <t>In-scope</t>
        </is>
      </c>
      <c r="J30" s="16" t="inlineStr">
        <is>
          <t>In-scope</t>
        </is>
      </c>
      <c r="K30" s="11">
        <f>IF(AND(I30&lt;&gt;"",J30&lt;&gt;""),IF(I30=J30,"Agree","DISAGREE"),"")</f>
        <v/>
      </c>
      <c r="L30" s="16" t="inlineStr">
        <is>
          <t>In-scope</t>
        </is>
      </c>
      <c r="M30" s="10" t="inlineStr">
        <is>
          <t>Verified by Claude 21-Jul-2026 (read cited pages; human spot-check advised): PY §15.4 + DS p.434.</t>
        </is>
      </c>
    </row>
    <row r="31" ht="69.75" customHeight="1" s="23">
      <c r="A31" s="11" t="inlineStr">
        <is>
          <t>Q030</t>
        </is>
      </c>
      <c r="B31" s="14" t="inlineStr">
        <is>
          <t>In-scope direct</t>
        </is>
      </c>
      <c r="C31" s="11" t="inlineStr">
        <is>
          <t>Single chunk</t>
        </is>
      </c>
      <c r="D31" s="11" t="inlineStr">
        <is>
          <t>Data science</t>
        </is>
      </c>
      <c r="E31" s="10" t="inlineStr">
        <is>
          <t>Why is data visualisation useful when analysing datasets?</t>
        </is>
      </c>
      <c r="F31" s="10" t="inlineStr">
        <is>
          <t>Visualisation section.</t>
        </is>
      </c>
      <c r="G31" s="16" t="inlineStr">
        <is>
          <t>Verified in corpus</t>
        </is>
      </c>
      <c r="H31" s="10" t="inlineStr">
        <is>
          <t>'data visualization': PY p.10,76,359… (10 pgs); DS p.9,22,40… (43 pgs) | 'visualization': PY p.10,76,201… (16 pgs); DS p.9,12,13… (81 pgs); SE p.96,104,106 (3 pgs)</t>
        </is>
      </c>
      <c r="I31" s="16" t="inlineStr">
        <is>
          <t>In-scope</t>
        </is>
      </c>
      <c r="J31" s="16" t="inlineStr">
        <is>
          <t>In-scope</t>
        </is>
      </c>
      <c r="K31" s="11">
        <f>IF(AND(I31&lt;&gt;"",J31&lt;&gt;""),IF(I31=J31,"Agree","DISAGREE"),"")</f>
        <v/>
      </c>
      <c r="L31" s="16" t="inlineStr">
        <is>
          <t>In-scope</t>
        </is>
      </c>
      <c r="M31" s="10" t="inlineStr">
        <is>
          <t>Verified by Claude 21-Jul-2026 (read cited pages; human spot-check advised): PY §15.5 visualization types table + DS ch.9.</t>
        </is>
      </c>
    </row>
    <row r="32" ht="55.5" customHeight="1" s="23">
      <c r="A32" s="11" t="inlineStr">
        <is>
          <t>Q031</t>
        </is>
      </c>
      <c r="B32" s="14" t="inlineStr">
        <is>
          <t>In-scope direct</t>
        </is>
      </c>
      <c r="C32" s="11" t="inlineStr">
        <is>
          <t>Single chunk</t>
        </is>
      </c>
      <c r="D32" s="11" t="inlineStr">
        <is>
          <t>ML basics</t>
        </is>
      </c>
      <c r="E32" s="10" t="inlineStr">
        <is>
          <t>What is the difference between supervised and unsupervised learning?</t>
        </is>
      </c>
      <c r="F32" s="10" t="inlineStr">
        <is>
          <t>ML basics chapter.</t>
        </is>
      </c>
      <c r="G32" s="16" t="inlineStr">
        <is>
          <t>Verified in corpus</t>
        </is>
      </c>
      <c r="H32" s="10" t="inlineStr">
        <is>
          <t>'supervised learning': DS p.280,281,282… (11 pgs) | 'unsupervised learning': DS p.280,281,282… (7 pgs)</t>
        </is>
      </c>
      <c r="I32" s="16" t="inlineStr">
        <is>
          <t>In-scope</t>
        </is>
      </c>
      <c r="J32" s="16" t="inlineStr">
        <is>
          <t>In-scope</t>
        </is>
      </c>
      <c r="K32" s="11">
        <f>IF(AND(I32&lt;&gt;"",J32&lt;&gt;""),IF(I32=J32,"Agree","DISAGREE"),"")</f>
        <v/>
      </c>
      <c r="L32" s="16" t="inlineStr">
        <is>
          <t>In-scope</t>
        </is>
      </c>
      <c r="M32" s="10" t="inlineStr">
        <is>
          <t>Verified by Claude 21-Jul-2026 (read cited pages; human spot-check advised): DS §6.1 p.280–281.</t>
        </is>
      </c>
    </row>
    <row r="33" ht="42" customHeight="1" s="23">
      <c r="A33" s="11" t="inlineStr">
        <is>
          <t>Q032</t>
        </is>
      </c>
      <c r="B33" s="14" t="inlineStr">
        <is>
          <t>In-scope direct</t>
        </is>
      </c>
      <c r="C33" s="11" t="inlineStr">
        <is>
          <t>Single chunk</t>
        </is>
      </c>
      <c r="D33" s="11" t="inlineStr">
        <is>
          <t>ML basics</t>
        </is>
      </c>
      <c r="E33" s="10" t="inlineStr">
        <is>
          <t>What is overfitting and how can it be detected?</t>
        </is>
      </c>
      <c r="F33" s="10" t="inlineStr">
        <is>
          <t>Model evaluation section.</t>
        </is>
      </c>
      <c r="G33" s="16" t="inlineStr">
        <is>
          <t>Verified in corpus</t>
        </is>
      </c>
      <c r="H33" s="10" t="inlineStr">
        <is>
          <t>'overfitting': DS p.95,267,280… (24 pgs)</t>
        </is>
      </c>
      <c r="I33" s="16" t="inlineStr">
        <is>
          <t>In-scope</t>
        </is>
      </c>
      <c r="J33" s="16" t="inlineStr">
        <is>
          <t>In-scope</t>
        </is>
      </c>
      <c r="K33" s="11">
        <f>IF(AND(I33&lt;&gt;"",J33&lt;&gt;""),IF(I33=J33,"Agree","DISAGREE"),"")</f>
        <v/>
      </c>
      <c r="L33" s="16" t="inlineStr">
        <is>
          <t>In-scope</t>
        </is>
      </c>
      <c r="M33" s="10" t="inlineStr">
        <is>
          <t>Verified by Claude 21-Jul-2026 (read cited pages; human spot-check advised): DS §6.1.4 + p.267 (held-out detection).</t>
        </is>
      </c>
    </row>
    <row r="34" ht="42" customHeight="1" s="23">
      <c r="A34" s="11" t="inlineStr">
        <is>
          <t>Q033</t>
        </is>
      </c>
      <c r="B34" s="14" t="inlineStr">
        <is>
          <t>In-scope direct</t>
        </is>
      </c>
      <c r="C34" s="11" t="inlineStr">
        <is>
          <t>Single chunk</t>
        </is>
      </c>
      <c r="D34" s="11" t="inlineStr">
        <is>
          <t>ML basics</t>
        </is>
      </c>
      <c r="E34" s="10" t="inlineStr">
        <is>
          <t>What is a training/test split and why is it used?</t>
        </is>
      </c>
      <c r="F34" s="10" t="inlineStr">
        <is>
          <t>Model evaluation section.</t>
        </is>
      </c>
      <c r="G34" s="16" t="inlineStr">
        <is>
          <t>Verified in corpus</t>
        </is>
      </c>
      <c r="H34" s="10" t="inlineStr">
        <is>
          <t>'training set': DS p.280,283,285… (22 pgs) | 'test set': DS p.281,284,333… (10 pgs)</t>
        </is>
      </c>
      <c r="I34" s="16" t="inlineStr">
        <is>
          <t>In-scope</t>
        </is>
      </c>
      <c r="J34" s="16" t="inlineStr">
        <is>
          <t>In-scope</t>
        </is>
      </c>
      <c r="K34" s="11">
        <f>IF(AND(I34&lt;&gt;"",J34&lt;&gt;""),IF(I34=J34,"Agree","DISAGREE"),"")</f>
        <v/>
      </c>
      <c r="L34" s="16" t="inlineStr">
        <is>
          <t>In-scope</t>
        </is>
      </c>
      <c r="M34" s="10" t="inlineStr">
        <is>
          <t>Verified by Claude 21-Jul-2026 (read cited pages; human spot-check advised): DS p.280,283 (60–80% split).</t>
        </is>
      </c>
    </row>
    <row r="35" ht="42" customHeight="1" s="23">
      <c r="A35" s="11" t="inlineStr">
        <is>
          <t>Q034</t>
        </is>
      </c>
      <c r="B35" s="14" t="inlineStr">
        <is>
          <t>In-scope direct</t>
        </is>
      </c>
      <c r="C35" s="11" t="inlineStr">
        <is>
          <t>Single chunk</t>
        </is>
      </c>
      <c r="D35" s="11" t="inlineStr">
        <is>
          <t>ML basics</t>
        </is>
      </c>
      <c r="E35" s="10" t="inlineStr">
        <is>
          <t>How do classification and regression tasks differ?</t>
        </is>
      </c>
      <c r="F35" s="10" t="inlineStr">
        <is>
          <t>ML basics chapter.</t>
        </is>
      </c>
      <c r="G35" s="16" t="inlineStr">
        <is>
          <t>Verified in corpus</t>
        </is>
      </c>
      <c r="H35" s="10" t="inlineStr">
        <is>
          <t>'classification': DS p.8,12,38… (68 pgs) | 'regression': DS p.8,12,13… (136 pgs)</t>
        </is>
      </c>
      <c r="I35" s="16" t="inlineStr">
        <is>
          <t>In-scope</t>
        </is>
      </c>
      <c r="J35" s="16" t="inlineStr">
        <is>
          <t>In-scope</t>
        </is>
      </c>
      <c r="K35" s="11">
        <f>IF(AND(I35&lt;&gt;"",J35&lt;&gt;""),IF(I35=J35,"Agree","DISAGREE"),"")</f>
        <v/>
      </c>
      <c r="L35" s="16" t="inlineStr">
        <is>
          <t>In-scope</t>
        </is>
      </c>
      <c r="M35" s="10" t="inlineStr">
        <is>
          <t>Verified by Claude 21-Jul-2026 (read cited pages; human spot-check advised): DS §6.2–6.3 + ch.4 regression.</t>
        </is>
      </c>
    </row>
    <row r="36" ht="42" customHeight="1" s="23">
      <c r="A36" s="11" t="inlineStr">
        <is>
          <t>Q035</t>
        </is>
      </c>
      <c r="B36" s="14" t="inlineStr">
        <is>
          <t>In-scope direct</t>
        </is>
      </c>
      <c r="C36" s="11" t="inlineStr">
        <is>
          <t>Single chunk</t>
        </is>
      </c>
      <c r="D36" s="11" t="inlineStr">
        <is>
          <t>ML basics</t>
        </is>
      </c>
      <c r="E36" s="10" t="inlineStr">
        <is>
          <t>What is a decision tree and how does it make predictions?</t>
        </is>
      </c>
      <c r="F36" s="10" t="inlineStr">
        <is>
          <t>ML algorithms section.</t>
        </is>
      </c>
      <c r="G36" s="16" t="inlineStr">
        <is>
          <t>Verified in corpus</t>
        </is>
      </c>
      <c r="H36" s="10" t="inlineStr">
        <is>
          <t>'decision tree': DS p.8,12,95… (40 pgs); ODS p.242 (1 pgs)</t>
        </is>
      </c>
      <c r="I36" s="16" t="inlineStr">
        <is>
          <t>In-scope</t>
        </is>
      </c>
      <c r="J36" s="16" t="inlineStr">
        <is>
          <t>In-scope</t>
        </is>
      </c>
      <c r="K36" s="11">
        <f>IF(AND(I36&lt;&gt;"",J36&lt;&gt;""),IF(I36=J36,"Agree","DISAGREE"),"")</f>
        <v/>
      </c>
      <c r="L36" s="16" t="inlineStr">
        <is>
          <t>In-scope</t>
        </is>
      </c>
      <c r="M36" s="10" t="inlineStr">
        <is>
          <t>Verified by Claude 21-Jul-2026 (read cited pages; human spot-check advised): DS §6.4 Decision trees.</t>
        </is>
      </c>
    </row>
    <row r="37" ht="55.5" customHeight="1" s="23">
      <c r="A37" s="11" t="inlineStr">
        <is>
          <t>Q036</t>
        </is>
      </c>
      <c r="B37" s="14" t="inlineStr">
        <is>
          <t>In-scope direct</t>
        </is>
      </c>
      <c r="C37" s="11" t="inlineStr">
        <is>
          <t>Single chunk</t>
        </is>
      </c>
      <c r="D37" s="11" t="inlineStr">
        <is>
          <t>Software engineering</t>
        </is>
      </c>
      <c r="E37" s="10" t="inlineStr">
        <is>
          <t>What is version control and why do developers use it?</t>
        </is>
      </c>
      <c r="F37" s="10" t="inlineStr">
        <is>
          <t>SE concepts.</t>
        </is>
      </c>
      <c r="G37" s="16" t="inlineStr">
        <is>
          <t>Verified in corpus</t>
        </is>
      </c>
      <c r="H37" s="10" t="inlineStr">
        <is>
          <t>'version control': DS p.480,505,507… (4 pgs) | 'git': PY p.4,5,25… (19 pgs); DS p.4,5,27… (42 pgs); ODS p.7,11,12… (11 pgs); SE p.12,50,53… (7 pgs)</t>
        </is>
      </c>
      <c r="I37" s="16" t="inlineStr">
        <is>
          <t>In-scope</t>
        </is>
      </c>
      <c r="J37" s="16" t="inlineStr">
        <is>
          <t>In-scope</t>
        </is>
      </c>
      <c r="K37" s="11">
        <f>IF(AND(I37&lt;&gt;"",J37&lt;&gt;""),IF(I37=J37,"Agree","DISAGREE"),"")</f>
        <v/>
      </c>
      <c r="L37" s="16" t="inlineStr">
        <is>
          <t>In-scope</t>
        </is>
      </c>
      <c r="M37" s="10" t="inlineStr">
        <is>
          <t>Verified by Claude 21-Jul-2026 (read cited pages; human spot-check advised): DS p.480 git/svn definition + purpose.</t>
        </is>
      </c>
    </row>
    <row r="38" ht="55.5" customHeight="1" s="23">
      <c r="A38" s="11" t="inlineStr">
        <is>
          <t>Q037</t>
        </is>
      </c>
      <c r="B38" s="14" t="inlineStr">
        <is>
          <t>In-scope direct</t>
        </is>
      </c>
      <c r="C38" s="11" t="inlineStr">
        <is>
          <t>Single chunk</t>
        </is>
      </c>
      <c r="D38" s="11" t="inlineStr">
        <is>
          <t>Software engineering</t>
        </is>
      </c>
      <c r="E38" s="10" t="inlineStr">
        <is>
          <t>What are code smells, and why should teams care about them?</t>
        </is>
      </c>
      <c r="F38" s="10" t="inlineStr">
        <is>
          <t>Testing section. | REWRITTEN v3.1 (was: unit testing — only a glossary/table mention, never taught).</t>
        </is>
      </c>
      <c r="G38" s="16" t="inlineStr">
        <is>
          <t>Verified in corpus</t>
        </is>
      </c>
      <c r="H38" s="10" t="inlineStr">
        <is>
          <t>'unit test': PY p.202 (1 pgs); SE p.105 (1 pgs)</t>
        </is>
      </c>
      <c r="I38" s="16" t="inlineStr">
        <is>
          <t>In-scope</t>
        </is>
      </c>
      <c r="J38" s="16" t="inlineStr">
        <is>
          <t>In-scope</t>
        </is>
      </c>
      <c r="K38" s="11">
        <f>IF(AND(I38&lt;&gt;"",J38&lt;&gt;""),IF(I38=J38,"Agree","DISAGREE"),"")</f>
        <v/>
      </c>
      <c r="L38" s="16" t="inlineStr">
        <is>
          <t>In-scope</t>
        </is>
      </c>
      <c r="M38" s="10" t="inlineStr">
        <is>
          <t>Verified by Claude 21-Jul-2026 (read cited pages; human spot-check advised): SE ch.8 (§8.1 'Why care about code smells?'), 28 mentions.</t>
        </is>
      </c>
    </row>
    <row r="39" ht="42" customHeight="1" s="23">
      <c r="A39" s="11" t="inlineStr">
        <is>
          <t>Q038</t>
        </is>
      </c>
      <c r="B39" s="14" t="inlineStr">
        <is>
          <t>In-scope direct</t>
        </is>
      </c>
      <c r="C39" s="11" t="inlineStr">
        <is>
          <t>Single chunk</t>
        </is>
      </c>
      <c r="D39" s="11" t="inlineStr">
        <is>
          <t>Python fundamentals</t>
        </is>
      </c>
      <c r="E39" s="10" t="inlineStr">
        <is>
          <t>What is a docstring and how is it used to document Python code?</t>
        </is>
      </c>
      <c r="F39" s="10" t="inlineStr">
        <is>
          <t>REWRITTEN v2 (was: SDLC — not covered). Docstrings in the Python book.</t>
        </is>
      </c>
      <c r="G39" s="16" t="inlineStr">
        <is>
          <t>Verified in corpus</t>
        </is>
      </c>
      <c r="H39" s="10" t="inlineStr">
        <is>
          <t>'docstring': PY p.37,39,40… (19 pgs)</t>
        </is>
      </c>
      <c r="I39" s="16" t="inlineStr">
        <is>
          <t>In-scope</t>
        </is>
      </c>
      <c r="J39" s="16" t="inlineStr">
        <is>
          <t>In-scope</t>
        </is>
      </c>
      <c r="K39" s="11">
        <f>IF(AND(I39&lt;&gt;"",J39&lt;&gt;""),IF(I39=J39,"Agree","DISAGREE"),"")</f>
        <v/>
      </c>
      <c r="L39" s="16" t="inlineStr">
        <is>
          <t>In-scope</t>
        </is>
      </c>
      <c r="M39" s="10" t="inlineStr">
        <is>
          <t>Verified by Claude 21-Jul-2026 (read cited pages; human spot-check advised): PY §1.7 docstrings p.37–39.</t>
        </is>
      </c>
    </row>
    <row r="40" ht="55.5" customHeight="1" s="23">
      <c r="A40" s="11" t="inlineStr">
        <is>
          <t>Q039</t>
        </is>
      </c>
      <c r="B40" s="14" t="inlineStr">
        <is>
          <t>In-scope direct</t>
        </is>
      </c>
      <c r="C40" s="11" t="inlineStr">
        <is>
          <t>Single chunk</t>
        </is>
      </c>
      <c r="D40" s="11" t="inlineStr">
        <is>
          <t>Software engineering</t>
        </is>
      </c>
      <c r="E40" s="10" t="inlineStr">
        <is>
          <t>How do you read a Python error message and traceback to locate a bug?</t>
        </is>
      </c>
      <c r="F40" s="10" t="inlineStr">
        <is>
          <t>Debugging section. | REWRITTEN v3.1 (was: debugging strategies — only passing mentions).</t>
        </is>
      </c>
      <c r="G40" s="16" t="inlineStr">
        <is>
          <t>Verified in corpus</t>
        </is>
      </c>
      <c r="H40" s="10" t="inlineStr">
        <is>
          <t>'debugging': PY p.167 (1 pgs); DS p.83,378 (2 pgs)</t>
        </is>
      </c>
      <c r="I40" s="16" t="inlineStr">
        <is>
          <t>Tangential</t>
        </is>
      </c>
      <c r="J40" s="16" t="inlineStr">
        <is>
          <t>In-scope</t>
        </is>
      </c>
      <c r="K40" s="11">
        <f>IF(AND(I40&lt;&gt;"",J40&lt;&gt;""),IF(I40=J40,"Agree","DISAGREE"),"")</f>
        <v/>
      </c>
      <c r="L40" s="16" t="inlineStr">
        <is>
          <t>In-scope</t>
        </is>
      </c>
      <c r="M40" s="10" t="inlineStr">
        <is>
          <t>Verified by Claude 21-Jul-2026 (read cited pages; human spot-check advised): PY §1.6 Error messages (25 hits, traceback examples). || ADJUDICATED (LLM-applied rules, pending author ratification): Rule 3 — PY §1.6 Error messages: dedicated section, 25 mentions, worked traceback examples.</t>
        </is>
      </c>
    </row>
    <row r="41" ht="42" customHeight="1" s="23">
      <c r="A41" s="11" t="inlineStr">
        <is>
          <t>Q040</t>
        </is>
      </c>
      <c r="B41" s="14" t="inlineStr">
        <is>
          <t>In-scope direct</t>
        </is>
      </c>
      <c r="C41" s="11" t="inlineStr">
        <is>
          <t>Single chunk</t>
        </is>
      </c>
      <c r="D41" s="11" t="inlineStr">
        <is>
          <t>Software engineering</t>
        </is>
      </c>
      <c r="E41" s="10" t="inlineStr">
        <is>
          <t>What is modularity, and why are functions and modules used to structure programs?</t>
        </is>
      </c>
      <c r="F41" s="10" t="inlineStr">
        <is>
          <t>Program design section.</t>
        </is>
      </c>
      <c r="G41" s="16" t="inlineStr">
        <is>
          <t>Verified in corpus</t>
        </is>
      </c>
      <c r="H41" s="10" t="inlineStr">
        <is>
          <t>'modular': PY p.158,161,313… (4 pgs); DS p.12 (1 pgs); ODS p.50,51,70… (5 pgs); SE p.97 (1 pgs)</t>
        </is>
      </c>
      <c r="I41" s="16" t="inlineStr">
        <is>
          <t>In-scope</t>
        </is>
      </c>
      <c r="J41" s="16" t="inlineStr">
        <is>
          <t>In-scope</t>
        </is>
      </c>
      <c r="K41" s="11">
        <f>IF(AND(I41&lt;&gt;"",J41&lt;&gt;""),IF(I41=J41,"Agree","DISAGREE"),"")</f>
        <v/>
      </c>
      <c r="L41" s="16" t="inlineStr">
        <is>
          <t>In-scope</t>
        </is>
      </c>
      <c r="M41" s="10" t="inlineStr">
        <is>
          <t>Verified by Claude 21-Jul-2026 (read cited pages; human spot-check advised): PY §6.1–6.2 modularity p.158,161.</t>
        </is>
      </c>
    </row>
    <row r="42" ht="42" customHeight="1" s="23">
      <c r="A42" s="11" t="inlineStr">
        <is>
          <t>Q041</t>
        </is>
      </c>
      <c r="B42" s="20" t="inlineStr">
        <is>
          <t>In-scope hard</t>
        </is>
      </c>
      <c r="C42" s="11" t="inlineStr">
        <is>
          <t>Multi-chunk</t>
        </is>
      </c>
      <c r="D42" s="11" t="inlineStr">
        <is>
          <t>Python fundamentals</t>
        </is>
      </c>
      <c r="E42" s="10" t="inlineStr">
        <is>
          <t>Compare lists, tuples, and dictionaries in terms of mutability and typical use cases.</t>
        </is>
      </c>
      <c r="F42" s="10" t="inlineStr">
        <is>
          <t>Synthesis across sections.</t>
        </is>
      </c>
      <c r="G42" s="16" t="inlineStr">
        <is>
          <t>Verified in corpus</t>
        </is>
      </c>
      <c r="H42" s="10" t="inlineStr">
        <is>
          <t>'mutable': PY p.96,97,171… (15 pgs) | 'immutable': PY p.96,97,171… (10 pgs)</t>
        </is>
      </c>
      <c r="I42" s="16" t="inlineStr">
        <is>
          <t>Tangential</t>
        </is>
      </c>
      <c r="J42" s="16" t="inlineStr">
        <is>
          <t>In-scope</t>
        </is>
      </c>
      <c r="K42" s="11">
        <f>IF(AND(I42&lt;&gt;"",J42&lt;&gt;""),IF(I42=J42,"Agree","DISAGREE"),"")</f>
        <v/>
      </c>
      <c r="L42" s="16" t="inlineStr">
        <is>
          <t>In-scope</t>
        </is>
      </c>
      <c r="M42" s="10" t="inlineStr">
        <is>
          <t>Verified by Claude 21-Jul-2026 (read cited pages; human spot-check advised): PY p.96–97 + dict ch.10 (multi-chunk). || ADJUDICATED (LLM-applied rules, pending author ratification): Rule 1+3 — PY p.96–97 mutability + ch.10 dictionaries; multi-chunk synthesis is by design.</t>
        </is>
      </c>
    </row>
    <row r="43" ht="69.75" customHeight="1" s="23">
      <c r="A43" s="11" t="inlineStr">
        <is>
          <t>Q042</t>
        </is>
      </c>
      <c r="B43" s="20" t="inlineStr">
        <is>
          <t>In-scope hard</t>
        </is>
      </c>
      <c r="C43" s="11" t="inlineStr">
        <is>
          <t>Multi-chunk</t>
        </is>
      </c>
      <c r="D43" s="11" t="inlineStr">
        <is>
          <t>OOP</t>
        </is>
      </c>
      <c r="E43" s="10" t="inlineStr">
        <is>
          <t>In class design, what is the difference between an is-a relationship (inheritance) and a has-a relationship (composition)?</t>
        </is>
      </c>
      <c r="F43" s="10" t="inlineStr">
        <is>
          <t>Inheritance + design sections. | REWRITTEN v3.1 (was: inheritance vs composition preference — composition appears only in an answer key; is-a/has-a is an explicit learning objective).</t>
        </is>
      </c>
      <c r="G43" s="16" t="inlineStr">
        <is>
          <t>Verified in corpus</t>
        </is>
      </c>
      <c r="H43" s="10" t="inlineStr">
        <is>
          <t>'composition': PY p.408 (1 pgs); DS p.234,235,240… (12 pgs)</t>
        </is>
      </c>
      <c r="I43" s="16" t="inlineStr">
        <is>
          <t>In-scope</t>
        </is>
      </c>
      <c r="J43" s="16" t="inlineStr">
        <is>
          <t>In-scope</t>
        </is>
      </c>
      <c r="K43" s="11">
        <f>IF(AND(I43&lt;&gt;"",J43&lt;&gt;""),IF(I43=J43,"Agree","DISAGREE"),"")</f>
        <v/>
      </c>
      <c r="L43" s="16" t="inlineStr">
        <is>
          <t>In-scope</t>
        </is>
      </c>
      <c r="M43" s="10" t="inlineStr">
        <is>
          <t>Verified by Claude 21-Jul-2026 (read cited pages; human spot-check advised): PY §13.1 (LO: 'identify is-a and has-a relationships between classes').</t>
        </is>
      </c>
    </row>
    <row r="44" ht="69.75" customHeight="1" s="23">
      <c r="A44" s="11" t="inlineStr">
        <is>
          <t>Q043</t>
        </is>
      </c>
      <c r="B44" s="20" t="inlineStr">
        <is>
          <t>In-scope hard</t>
        </is>
      </c>
      <c r="C44" s="11" t="inlineStr">
        <is>
          <t>Multi-chunk</t>
        </is>
      </c>
      <c r="D44" s="11" t="inlineStr">
        <is>
          <t>Python fundamentals</t>
        </is>
      </c>
      <c r="E44" s="10" t="inlineStr">
        <is>
          <t>How do you raise an exception with the raise statement, and what does Python display when an exception is not caught?</t>
        </is>
      </c>
      <c r="F44" s="10" t="inlineStr">
        <is>
          <t>Functions + exceptions chapters. | REWRITTEN v3.1 (was: propagation through call stack — not explicitly taught).</t>
        </is>
      </c>
      <c r="G44" s="16" t="inlineStr">
        <is>
          <t>Verified in corpus</t>
        </is>
      </c>
      <c r="H44" s="10" t="inlineStr">
        <is>
          <t>'raise': PY p.25,45,65… (14 pgs); DS p.26,44,324… (8 pgs); ODS p.22 (1 pgs) | 'exception': PY p.10,115,256… (14 pgs); DS p.391 (1 pgs); ODS p.82,91,116… (4 pgs)</t>
        </is>
      </c>
      <c r="I44" s="16" t="inlineStr">
        <is>
          <t>In-scope</t>
        </is>
      </c>
      <c r="J44" s="16" t="inlineStr">
        <is>
          <t>In-scope</t>
        </is>
      </c>
      <c r="K44" s="11">
        <f>IF(AND(I44&lt;&gt;"",J44&lt;&gt;""),IF(I44=J44,"Agree","DISAGREE"),"")</f>
        <v/>
      </c>
      <c r="L44" s="16" t="inlineStr">
        <is>
          <t>In-scope</t>
        </is>
      </c>
      <c r="M44" s="10" t="inlineStr">
        <is>
          <t>Verified by Claude 21-Jul-2026 (read cited pages; human spot-check advised): PY §14.5 Raising exceptions + §1.6 traceback display.</t>
        </is>
      </c>
    </row>
    <row r="45" ht="55.5" customHeight="1" s="23">
      <c r="A45" s="11" t="inlineStr">
        <is>
          <t>Q044</t>
        </is>
      </c>
      <c r="B45" s="20" t="inlineStr">
        <is>
          <t>In-scope hard</t>
        </is>
      </c>
      <c r="C45" s="11" t="inlineStr">
        <is>
          <t>Multi-chunk</t>
        </is>
      </c>
      <c r="D45" s="11" t="inlineStr">
        <is>
          <t>Data structures</t>
        </is>
      </c>
      <c r="E45" s="10" t="inlineStr">
        <is>
          <t>Compare searching an unsorted list, a sorted list with binary search, and a dictionary lookup.</t>
        </is>
      </c>
      <c r="F45" s="10" t="inlineStr">
        <is>
          <t>Lists + searching + hashing.</t>
        </is>
      </c>
      <c r="G45" s="16" t="inlineStr">
        <is>
          <t>Verified in corpus</t>
        </is>
      </c>
      <c r="H45" s="10" t="inlineStr">
        <is>
          <t>'binary search': PY p.308,309,408 (3 pgs); ODS p.5,6,22… (58 pgs) | 'lookup': PY p.356 (1 pgs); DS p.405,514,523 (3 pgs)</t>
        </is>
      </c>
      <c r="I45" s="16" t="inlineStr">
        <is>
          <t>Out-of-scope</t>
        </is>
      </c>
      <c r="J45" s="16" t="inlineStr">
        <is>
          <t>In-scope</t>
        </is>
      </c>
      <c r="K45" s="11">
        <f>IF(AND(I45&lt;&gt;"",J45&lt;&gt;""),IF(I45=J45,"Agree","DISAGREE"),"")</f>
        <v/>
      </c>
      <c r="L45" s="16" t="inlineStr">
        <is>
          <t>In-scope</t>
        </is>
      </c>
      <c r="M45" s="10" t="inlineStr">
        <is>
          <t>Verified by Claude 21-Jul-2026 (read cited pages; human spot-check advised): PY §12.5 + ODS §6.2 + ODS ch.5. || ADJUDICATED (LLM-applied rules, pending author ratification): Rule 1+3 — PY §12.5 (linear vs binary search) + ODS §6.2 + ODS ch.5 (hash lookup).</t>
        </is>
      </c>
    </row>
    <row r="46" ht="55.5" customHeight="1" s="23">
      <c r="A46" s="11" t="inlineStr">
        <is>
          <t>Q045</t>
        </is>
      </c>
      <c r="B46" s="20" t="inlineStr">
        <is>
          <t>In-scope hard</t>
        </is>
      </c>
      <c r="C46" s="11" t="inlineStr">
        <is>
          <t>Multi-chunk</t>
        </is>
      </c>
      <c r="D46" s="11" t="inlineStr">
        <is>
          <t>Algorithms</t>
        </is>
      </c>
      <c r="E46" s="10" t="inlineStr">
        <is>
          <t>What happens when a recursive function lacks a base case, and how do you prevent it?</t>
        </is>
      </c>
      <c r="F46" s="10" t="inlineStr">
        <is>
          <t>Recursion + stack sections. | REWRITTEN v3.1 (was: call stack &amp; stack overflow — 'stack overflow' hits were the website; mechanism not taught).</t>
        </is>
      </c>
      <c r="G46" s="16" t="inlineStr">
        <is>
          <t>Verified in corpus</t>
        </is>
      </c>
      <c r="H46" s="10" t="inlineStr">
        <is>
          <t>'call stack': SE p.63 (1 pgs) | 'stack overflow': PY p.42,43,44 (3 pgs); ODS p.263 (1 pgs)</t>
        </is>
      </c>
      <c r="I46" s="16" t="inlineStr">
        <is>
          <t>In-scope</t>
        </is>
      </c>
      <c r="J46" s="16" t="inlineStr">
        <is>
          <t>In-scope</t>
        </is>
      </c>
      <c r="K46" s="11">
        <f>IF(AND(I46&lt;&gt;"",J46&lt;&gt;""),IF(I46=J46,"Agree","DISAGREE"),"")</f>
        <v/>
      </c>
      <c r="L46" s="16" t="inlineStr">
        <is>
          <t>In-scope</t>
        </is>
      </c>
      <c r="M46" s="10" t="inlineStr">
        <is>
          <t>Verified by Claude 21-Jul-2026 (read cited pages; human spot-check advised): PY p.300: no base case → 'infinite computation'.</t>
        </is>
      </c>
    </row>
    <row r="47" ht="55.5" customHeight="1" s="23">
      <c r="A47" s="11" t="inlineStr">
        <is>
          <t>Q046</t>
        </is>
      </c>
      <c r="B47" s="20" t="inlineStr">
        <is>
          <t>In-scope hard</t>
        </is>
      </c>
      <c r="C47" s="11" t="inlineStr">
        <is>
          <t>Multi-chunk</t>
        </is>
      </c>
      <c r="D47" s="11" t="inlineStr">
        <is>
          <t>Python fundamentals</t>
        </is>
      </c>
      <c r="E47" s="10" t="inlineStr">
        <is>
          <t>How would you find the maximum value in a list using loops and conditionals (no built-ins), and what is the complexity?</t>
        </is>
      </c>
      <c r="F47" s="10" t="inlineStr">
        <is>
          <t>Loops + conditionals + complexity.</t>
        </is>
      </c>
      <c r="G47" s="16" t="inlineStr">
        <is>
          <t>Verified in corpus</t>
        </is>
      </c>
      <c r="H47" s="10" t="inlineStr">
        <is>
          <t>'maximum': PY p.59,248,371… (9 pgs); DS p.21,50,66… (29 pgs); ODS p.142,175,213… (7 pgs); SE p.41 (1 pgs)</t>
        </is>
      </c>
      <c r="I47" s="16" t="inlineStr">
        <is>
          <t>Tangential</t>
        </is>
      </c>
      <c r="J47" s="16" t="inlineStr">
        <is>
          <t>In-scope</t>
        </is>
      </c>
      <c r="K47" s="11">
        <f>IF(AND(I47&lt;&gt;"",J47&lt;&gt;""),IF(I47=J47,"Agree","DISAGREE"),"")</f>
        <v/>
      </c>
      <c r="L47" s="16" t="inlineStr">
        <is>
          <t>In-scope</t>
        </is>
      </c>
      <c r="M47" s="10" t="inlineStr">
        <is>
          <t>Verified by Claude 21-Jul-2026 (read cited pages; human spot-check advised): PY loops/conditionals chs.4–5 + ODS complexity §1.3.3 (synthesis). || ADJUDICATED (LLM-applied rules, pending author ratification): Rule 1 — Loops+conditionals taught (PY chs.4–5); complexity of linear scan from ODS §1.3.3.</t>
        </is>
      </c>
    </row>
    <row r="48" ht="55.5" customHeight="1" s="23">
      <c r="A48" s="11" t="inlineStr">
        <is>
          <t>Q047</t>
        </is>
      </c>
      <c r="B48" s="20" t="inlineStr">
        <is>
          <t>In-scope hard</t>
        </is>
      </c>
      <c r="C48" s="11" t="inlineStr">
        <is>
          <t>Multi-chunk</t>
        </is>
      </c>
      <c r="D48" s="11" t="inlineStr">
        <is>
          <t>Algorithms</t>
        </is>
      </c>
      <c r="E48" s="10" t="inlineStr">
        <is>
          <t>How does the choice of underlying data structure affect a sorting algorithm's performance?</t>
        </is>
      </c>
      <c r="F48" s="10" t="inlineStr">
        <is>
          <t>Sorting + DS chapters.</t>
        </is>
      </c>
      <c r="G48" s="16" t="inlineStr">
        <is>
          <t>Verified in corpus</t>
        </is>
      </c>
      <c r="H48" s="10" t="inlineStr">
        <is>
          <t>'sorting algorithm': ODS p.6,37,215… (19 pgs) | 'sort': PY p.9,74,200… (16 pgs); DS p.27,118,119… (11 pgs); ODS p.3,6,15… (50 pgs)</t>
        </is>
      </c>
      <c r="I48" s="16" t="inlineStr">
        <is>
          <t>In-scope</t>
        </is>
      </c>
      <c r="J48" s="16" t="inlineStr">
        <is>
          <t>In-scope</t>
        </is>
      </c>
      <c r="K48" s="11">
        <f>IF(AND(I48&lt;&gt;"",J48&lt;&gt;""),IF(I48=J48,"Agree","DISAGREE"),"")</f>
        <v/>
      </c>
      <c r="L48" s="16" t="inlineStr">
        <is>
          <t>In-scope</t>
        </is>
      </c>
      <c r="M48" s="10" t="inlineStr">
        <is>
          <t>Verified by Claude 21-Jul-2026 (read cited pages; human spot-check advised): ODS ch.11 (heap-sort uses heaps; merge sort on linked lists ex. p.92).</t>
        </is>
      </c>
    </row>
    <row r="49" ht="55.5" customHeight="1" s="23">
      <c r="A49" s="11" t="inlineStr">
        <is>
          <t>Q048</t>
        </is>
      </c>
      <c r="B49" s="20" t="inlineStr">
        <is>
          <t>In-scope hard</t>
        </is>
      </c>
      <c r="C49" s="11" t="inlineStr">
        <is>
          <t>Multi-chunk</t>
        </is>
      </c>
      <c r="D49" s="11" t="inlineStr">
        <is>
          <t>ML basics</t>
        </is>
      </c>
      <c r="E49" s="10" t="inlineStr">
        <is>
          <t>What roles do training data and evaluation metrics each play in judging whether a model generalises?</t>
        </is>
      </c>
      <c r="F49" s="10" t="inlineStr">
        <is>
          <t>Training + evaluation sections.</t>
        </is>
      </c>
      <c r="G49" s="16" t="inlineStr">
        <is>
          <t>Verified in corpus</t>
        </is>
      </c>
      <c r="H49" s="10" t="inlineStr">
        <is>
          <t>'generaliz': DS p.76,77,107… (14 pgs); ODS p.18,69,227… (7 pgs) | 'evaluation metric': DS p.479 (1 pgs)</t>
        </is>
      </c>
      <c r="I49" s="16" t="inlineStr">
        <is>
          <t>Out-of-scope</t>
        </is>
      </c>
      <c r="J49" s="16" t="inlineStr">
        <is>
          <t>In-scope</t>
        </is>
      </c>
      <c r="K49" s="11">
        <f>IF(AND(I49&lt;&gt;"",J49&lt;&gt;""),IF(I49=J49,"Agree","DISAGREE"),"")</f>
        <v/>
      </c>
      <c r="L49" s="16" t="inlineStr">
        <is>
          <t>In-scope</t>
        </is>
      </c>
      <c r="M49" s="10" t="inlineStr">
        <is>
          <t>Verified by Claude 21-Jul-2026 (read cited pages; human spot-check advised): DS §6.1 (LO 6.1.2 training/testing, 6.1.3 accuracy measures). || ADJUDICATED (LLM-applied rules, pending author ratification): Rule 3 — DS §6.1 LOs 6.1.2–6.1.4: training/testing roles, accuracy measures, overfitting.</t>
        </is>
      </c>
    </row>
    <row r="50" ht="42" customHeight="1" s="23">
      <c r="A50" s="11" t="inlineStr">
        <is>
          <t>Q049</t>
        </is>
      </c>
      <c r="B50" s="20" t="inlineStr">
        <is>
          <t>In-scope hard</t>
        </is>
      </c>
      <c r="C50" s="11" t="inlineStr">
        <is>
          <t>Multi-chunk</t>
        </is>
      </c>
      <c r="D50" s="11" t="inlineStr">
        <is>
          <t>OOP</t>
        </is>
      </c>
      <c r="E50" s="10" t="inlineStr">
        <is>
          <t>How do encapsulation and abstraction work together in class design?</t>
        </is>
      </c>
      <c r="F50" s="10" t="inlineStr">
        <is>
          <t>Two OOP principles combined.</t>
        </is>
      </c>
      <c r="G50" s="16" t="inlineStr">
        <is>
          <t>Verified in corpus</t>
        </is>
      </c>
      <c r="H50" s="10" t="inlineStr">
        <is>
          <t>'abstraction': PY p.275,277,293… (5 pgs); DS p.372 (1 pgs); SE p.68,108 (2 pgs)</t>
        </is>
      </c>
      <c r="I50" s="16" t="inlineStr">
        <is>
          <t>Tangential</t>
        </is>
      </c>
      <c r="J50" s="16" t="inlineStr">
        <is>
          <t>In-scope</t>
        </is>
      </c>
      <c r="K50" s="11">
        <f>IF(AND(I50&lt;&gt;"",J50&lt;&gt;""),IF(I50=J50,"Agree","DISAGREE"),"")</f>
        <v/>
      </c>
      <c r="L50" s="16" t="inlineStr">
        <is>
          <t>In-scope</t>
        </is>
      </c>
      <c r="M50" s="10" t="inlineStr">
        <is>
          <t>Verified by Claude 21-Jul-2026 (read cited pages; human spot-check advised): PY §11.1 both defined p.275,277. || ADJUDICATED (LLM-applied rules, pending author ratification): Rule 3 — PY §11.1 defines and relates both (p.275–277) — Python book, not SE book.</t>
        </is>
      </c>
    </row>
    <row r="51" ht="55.5" customHeight="1" s="23">
      <c r="A51" s="11" t="inlineStr">
        <is>
          <t>Q050</t>
        </is>
      </c>
      <c r="B51" s="20" t="inlineStr">
        <is>
          <t>In-scope hard</t>
        </is>
      </c>
      <c r="C51" s="11" t="inlineStr">
        <is>
          <t>Multi-chunk</t>
        </is>
      </c>
      <c r="D51" s="11" t="inlineStr">
        <is>
          <t>Algorithms (recursion)</t>
        </is>
      </c>
      <c r="E51" s="10" t="inlineStr">
        <is>
          <t>Compare recursive and loop-based implementations of factorial: how does each work, and when is each preferable?</t>
        </is>
      </c>
      <c r="F51" s="10" t="inlineStr">
        <is>
          <t>REWRITTEN v2 (was: tree traversal — not covered). Recursion + loops chapters.</t>
        </is>
      </c>
      <c r="G51" s="16" t="inlineStr">
        <is>
          <t>Verified in corpus</t>
        </is>
      </c>
      <c r="H51" s="10" t="inlineStr">
        <is>
          <t>'factorial': PY p.299,300,311 (3 pgs); DS p.143 (1 pgs); ODS p.3,16,23… (6 pgs) | 'recursion': PY p.9,297,298… (21 pgs); ODS p.91,142,144… (11 pgs)</t>
        </is>
      </c>
      <c r="I51" s="16" t="inlineStr">
        <is>
          <t>Tangential</t>
        </is>
      </c>
      <c r="J51" s="16" t="inlineStr">
        <is>
          <t>In-scope</t>
        </is>
      </c>
      <c r="K51" s="11">
        <f>IF(AND(I51&lt;&gt;"",J51&lt;&gt;""),IF(I51=J51,"Agree","DISAGREE"),"")</f>
        <v/>
      </c>
      <c r="L51" s="16" t="inlineStr">
        <is>
          <t>In-scope</t>
        </is>
      </c>
      <c r="M51" s="10" t="inlineStr">
        <is>
          <t>Verified by Claude 21-Jul-2026 (read cited pages; human spot-check advised): PY §12.2 factorial recursion + ch.5 loops. || ADJUDICATED (LLM-applied rules, pending author ratification): Rule 3 — PY §12.2 recursive factorial + ch.5 loop equivalents; §12.1 discusses when recursion helps.</t>
        </is>
      </c>
    </row>
    <row r="52" ht="55.5" customHeight="1" s="23">
      <c r="A52" s="11" t="inlineStr">
        <is>
          <t>Q051</t>
        </is>
      </c>
      <c r="B52" s="20" t="inlineStr">
        <is>
          <t>In-scope hard</t>
        </is>
      </c>
      <c r="C52" s="11" t="inlineStr">
        <is>
          <t>Paraphrase</t>
        </is>
      </c>
      <c r="D52" s="11" t="inlineStr">
        <is>
          <t>Python fundamentals</t>
        </is>
      </c>
      <c r="E52" s="10" t="inlineStr">
        <is>
          <t>If two names point to the same container and I change it through one name, why does the other see the change?</t>
        </is>
      </c>
      <c r="F52" s="10" t="inlineStr">
        <is>
          <t>Aliasing/mutability — no keyword overlap.</t>
        </is>
      </c>
      <c r="G52" s="16" t="inlineStr">
        <is>
          <t>Verified in corpus</t>
        </is>
      </c>
      <c r="H52" s="10" t="inlineStr">
        <is>
          <t>'alias': PY p.291,292,293… (9 pgs) | 'mutable': PY p.96,97,171… (15 pgs)</t>
        </is>
      </c>
      <c r="I52" s="16" t="inlineStr">
        <is>
          <t>Tangential</t>
        </is>
      </c>
      <c r="J52" s="16" t="inlineStr">
        <is>
          <t>In-scope</t>
        </is>
      </c>
      <c r="K52" s="11">
        <f>IF(AND(I52&lt;&gt;"",J52&lt;&gt;""),IF(I52=J52,"Agree","DISAGREE"),"")</f>
        <v/>
      </c>
      <c r="L52" s="16" t="inlineStr">
        <is>
          <t>In-scope</t>
        </is>
      </c>
      <c r="M52" s="10" t="inlineStr">
        <is>
          <t>Verified by Claude 21-Jul-2026 (read cited pages; human spot-check advised): PY §3.3 p.79–80: 'multiple variables may refer to the same object' + memory diagrams. || ADJUDICATED (LLM-applied rules, pending author ratification): Rule 1+3 — PY §3.3: 'multiple variables may refer to the same object' + memory diagrams — exactly this question.</t>
        </is>
      </c>
    </row>
    <row r="53" ht="55.5" customHeight="1" s="23">
      <c r="A53" s="11" t="inlineStr">
        <is>
          <t>Q052</t>
        </is>
      </c>
      <c r="B53" s="20" t="inlineStr">
        <is>
          <t>In-scope hard</t>
        </is>
      </c>
      <c r="C53" s="11" t="inlineStr">
        <is>
          <t>Paraphrase</t>
        </is>
      </c>
      <c r="D53" s="11" t="inlineStr">
        <is>
          <t>Python fundamentals</t>
        </is>
      </c>
      <c r="E53" s="10" t="inlineStr">
        <is>
          <t>Why does my function give back nothing when I leave out a particular statement at the end?</t>
        </is>
      </c>
      <c r="F53" s="10" t="inlineStr">
        <is>
          <t>Return statement, colloquial.</t>
        </is>
      </c>
      <c r="G53" s="16" t="inlineStr">
        <is>
          <t>Verified in corpus</t>
        </is>
      </c>
      <c r="H53" s="10" t="inlineStr">
        <is>
          <t>'return statement': PY p.173,174,175… (6 pgs)</t>
        </is>
      </c>
      <c r="I53" s="16" t="inlineStr">
        <is>
          <t>Out-of-scope</t>
        </is>
      </c>
      <c r="J53" s="16" t="inlineStr">
        <is>
          <t>In-scope</t>
        </is>
      </c>
      <c r="K53" s="11">
        <f>IF(AND(I53&lt;&gt;"",J53&lt;&gt;""),IF(I53=J53,"Agree","DISAGREE"),"")</f>
        <v/>
      </c>
      <c r="L53" s="16" t="inlineStr">
        <is>
          <t>In-scope</t>
        </is>
      </c>
      <c r="M53" s="10" t="inlineStr">
        <is>
          <t>Verified by Claude 21-Jul-2026 (read cited pages; human spot-check advised): PY §6.5 p.173–174: missing return = returns None. || ADJUDICATED (LLM-applied rules, pending author ratification): Rule 1+3 — PY §6.5 p.173–174: omitting return = returns None. Paraphrase judged on concept.</t>
        </is>
      </c>
    </row>
    <row r="54" ht="55.5" customHeight="1" s="23">
      <c r="A54" s="11" t="inlineStr">
        <is>
          <t>Q053</t>
        </is>
      </c>
      <c r="B54" s="20" t="inlineStr">
        <is>
          <t>In-scope hard</t>
        </is>
      </c>
      <c r="C54" s="11" t="inlineStr">
        <is>
          <t>Paraphrase</t>
        </is>
      </c>
      <c r="D54" s="11" t="inlineStr">
        <is>
          <t>OOP</t>
        </is>
      </c>
      <c r="E54" s="10" t="inlineStr">
        <is>
          <t>What mechanism lets me write a blueprint once and stamp out many working copies, each with its own data?</t>
        </is>
      </c>
      <c r="F54" s="10" t="inlineStr">
        <is>
          <t>Classes/instances without 'class'.</t>
        </is>
      </c>
      <c r="G54" s="16" t="inlineStr">
        <is>
          <t>Verified in corpus</t>
        </is>
      </c>
      <c r="H54" s="10" t="inlineStr">
        <is>
          <t>'class': PY p.9,10,14… (71 pgs); DS p.8,12,13… (112 pgs); ODS p.19,38,111… (16 pgs); SE p.6,11,12… (15 pgs)</t>
        </is>
      </c>
      <c r="I54" s="16" t="inlineStr">
        <is>
          <t>Out-of-scope</t>
        </is>
      </c>
      <c r="J54" s="16" t="inlineStr">
        <is>
          <t>In-scope</t>
        </is>
      </c>
      <c r="K54" s="11">
        <f>IF(AND(I54&lt;&gt;"",J54&lt;&gt;""),IF(I54=J54,"Agree","DISAGREE"),"")</f>
        <v/>
      </c>
      <c r="L54" s="16" t="inlineStr">
        <is>
          <t>In-scope</t>
        </is>
      </c>
      <c r="M54" s="10" t="inlineStr">
        <is>
          <t>Verified by Claude 21-Jul-2026 (read cited pages; human spot-check advised): PY p.277: 'a class is a blueprint for creating objects'. || ADJUDICATED (LLM-applied rules, pending author ratification): Rule 1+3 — PY p.277: 'a class is a blueprint for creating objects' — near-verbatim answer.</t>
        </is>
      </c>
    </row>
    <row r="55" ht="55.5" customHeight="1" s="23">
      <c r="A55" s="11" t="inlineStr">
        <is>
          <t>Q054</t>
        </is>
      </c>
      <c r="B55" s="20" t="inlineStr">
        <is>
          <t>In-scope hard</t>
        </is>
      </c>
      <c r="C55" s="11" t="inlineStr">
        <is>
          <t>Paraphrase</t>
        </is>
      </c>
      <c r="D55" s="11" t="inlineStr">
        <is>
          <t>Data structures</t>
        </is>
      </c>
      <c r="E55" s="10" t="inlineStr">
        <is>
          <t>Why is finding something by name in a phone-book-style structure faster than scanning a shopping list?</t>
        </is>
      </c>
      <c r="F55" s="10" t="inlineStr">
        <is>
          <t>Dict vs list lookup, no jargon.</t>
        </is>
      </c>
      <c r="G55" s="16" t="inlineStr">
        <is>
          <t>Verified in corpus</t>
        </is>
      </c>
      <c r="H55" s="10" t="inlineStr">
        <is>
          <t>'dictionary': PY p.9,236,248… (36 pgs); DS p.86,87,106… (7 pgs); ODS p.20,322 (2 pgs)</t>
        </is>
      </c>
      <c r="I55" s="16" t="inlineStr">
        <is>
          <t>Out-of-scope</t>
        </is>
      </c>
      <c r="J55" s="16" t="inlineStr">
        <is>
          <t>In-scope</t>
        </is>
      </c>
      <c r="K55" s="11">
        <f>IF(AND(I55&lt;&gt;"",J55&lt;&gt;""),IF(I55=J55,"Agree","DISAGREE"),"")</f>
        <v/>
      </c>
      <c r="L55" s="16" t="inlineStr">
        <is>
          <t>In-scope</t>
        </is>
      </c>
      <c r="M55" s="10" t="inlineStr">
        <is>
          <t>Verified by Claude 21-Jul-2026 (read cited pages; human spot-check advised): DS p.86 (key-value efficient retrieval) + ODS ch.5. || ADJUDICATED (LLM-applied rules, pending author ratification): Rule 1+3 — DS p.86 (key-value = efficient retrieval) + ODS ch.5 hashing analysis.</t>
        </is>
      </c>
    </row>
    <row r="56" ht="69.75" customHeight="1" s="23">
      <c r="A56" s="11" t="inlineStr">
        <is>
          <t>Q055</t>
        </is>
      </c>
      <c r="B56" s="20" t="inlineStr">
        <is>
          <t>In-scope hard</t>
        </is>
      </c>
      <c r="C56" s="11" t="inlineStr">
        <is>
          <t>Paraphrase</t>
        </is>
      </c>
      <c r="D56" s="11" t="inlineStr">
        <is>
          <t>Algorithms</t>
        </is>
      </c>
      <c r="E56" s="10" t="inlineStr">
        <is>
          <t>What is the halving strategy for finding a word in a physical dictionary called, and what must be true of the data first?</t>
        </is>
      </c>
      <c r="F56" s="10" t="inlineStr">
        <is>
          <t>Binary search + sorted precondition.</t>
        </is>
      </c>
      <c r="G56" s="16" t="inlineStr">
        <is>
          <t>Verified in corpus</t>
        </is>
      </c>
      <c r="H56" s="10" t="inlineStr">
        <is>
          <t>'binary search': PY p.308,309,408 (3 pgs); ODS p.5,6,22… (58 pgs) | 'sorted': PY p.200,237,248… (7 pgs); DS p.119,173,333… (5 pgs); ODS p.3,15,20… (26 pgs)</t>
        </is>
      </c>
      <c r="I56" s="16" t="inlineStr">
        <is>
          <t>In-scope</t>
        </is>
      </c>
      <c r="J56" s="16" t="inlineStr">
        <is>
          <t>In-scope</t>
        </is>
      </c>
      <c r="K56" s="11">
        <f>IF(AND(I56&lt;&gt;"",J56&lt;&gt;""),IF(I56=J56,"Agree","DISAGREE"),"")</f>
        <v/>
      </c>
      <c r="L56" s="16" t="inlineStr">
        <is>
          <t>In-scope</t>
        </is>
      </c>
      <c r="M56" s="10" t="inlineStr">
        <is>
          <t>Verified by Claude 21-Jul-2026 (read cited pages; human spot-check advised): PY §12.5 p.308: sorted-list precondition.</t>
        </is>
      </c>
    </row>
    <row r="57" ht="42" customHeight="1" s="23">
      <c r="A57" s="11" t="inlineStr">
        <is>
          <t>Q056</t>
        </is>
      </c>
      <c r="B57" s="20" t="inlineStr">
        <is>
          <t>In-scope hard</t>
        </is>
      </c>
      <c r="C57" s="11" t="inlineStr">
        <is>
          <t>Paraphrase</t>
        </is>
      </c>
      <c r="D57" s="11" t="inlineStr">
        <is>
          <t>Algorithms</t>
        </is>
      </c>
      <c r="E57" s="10" t="inlineStr">
        <is>
          <t>When a routine calls itself repeatedly, what stops it from running forever?</t>
        </is>
      </c>
      <c r="F57" s="10" t="inlineStr">
        <is>
          <t>Base case, no 'recursion' keyword.</t>
        </is>
      </c>
      <c r="G57" s="16" t="inlineStr">
        <is>
          <t>Verified in corpus</t>
        </is>
      </c>
      <c r="H57" s="10" t="inlineStr">
        <is>
          <t>'base case': PY p.299,300,302… (11 pgs); ODS p.210,224,233 (3 pgs)</t>
        </is>
      </c>
      <c r="I57" s="16" t="inlineStr">
        <is>
          <t>In-scope</t>
        </is>
      </c>
      <c r="J57" s="16" t="inlineStr">
        <is>
          <t>In-scope</t>
        </is>
      </c>
      <c r="K57" s="11">
        <f>IF(AND(I57&lt;&gt;"",J57&lt;&gt;""),IF(I57=J57,"Agree","DISAGREE"),"")</f>
        <v/>
      </c>
      <c r="L57" s="16" t="inlineStr">
        <is>
          <t>In-scope</t>
        </is>
      </c>
      <c r="M57" s="10" t="inlineStr">
        <is>
          <t>Verified by Claude 21-Jul-2026 (read cited pages; human spot-check advised): PY p.300: 'the base case stops the recursion'.</t>
        </is>
      </c>
    </row>
    <row r="58" ht="42" customHeight="1" s="23">
      <c r="A58" s="11" t="inlineStr">
        <is>
          <t>Q057</t>
        </is>
      </c>
      <c r="B58" s="20" t="inlineStr">
        <is>
          <t>In-scope hard</t>
        </is>
      </c>
      <c r="C58" s="11" t="inlineStr">
        <is>
          <t>Paraphrase</t>
        </is>
      </c>
      <c r="D58" s="11" t="inlineStr">
        <is>
          <t>ML basics</t>
        </is>
      </c>
      <c r="E58" s="10" t="inlineStr">
        <is>
          <t>Why might a model ace the questions it studied but fail the real exam?</t>
        </is>
      </c>
      <c r="F58" s="10" t="inlineStr">
        <is>
          <t>Overfitting as analogy.</t>
        </is>
      </c>
      <c r="G58" s="16" t="inlineStr">
        <is>
          <t>Verified in corpus</t>
        </is>
      </c>
      <c r="H58" s="10" t="inlineStr">
        <is>
          <t>'overfitting': DS p.95,267,280… (24 pgs)</t>
        </is>
      </c>
      <c r="I58" s="16" t="inlineStr">
        <is>
          <t>Out-of-scope</t>
        </is>
      </c>
      <c r="J58" s="16" t="inlineStr">
        <is>
          <t>In-scope</t>
        </is>
      </c>
      <c r="K58" s="11">
        <f>IF(AND(I58&lt;&gt;"",J58&lt;&gt;""),IF(I58=J58,"Agree","DISAGREE"),"")</f>
        <v/>
      </c>
      <c r="L58" s="16" t="inlineStr">
        <is>
          <t>In-scope</t>
        </is>
      </c>
      <c r="M58" s="10" t="inlineStr">
        <is>
          <t>Verified by Claude 21-Jul-2026 (read cited pages; human spot-check advised): DS p.267: fits known data, fails future data. || ADJUDICATED (LLM-applied rules, pending author ratification): Rule 1+3 — DS p.267: fits known data, fails future data = overfitting. Concept rule.</t>
        </is>
      </c>
    </row>
    <row r="59" ht="55.5" customHeight="1" s="23">
      <c r="A59" s="11" t="inlineStr">
        <is>
          <t>Q058</t>
        </is>
      </c>
      <c r="B59" s="20" t="inlineStr">
        <is>
          <t>In-scope hard</t>
        </is>
      </c>
      <c r="C59" s="11" t="inlineStr">
        <is>
          <t>Paraphrase</t>
        </is>
      </c>
      <c r="D59" s="11" t="inlineStr">
        <is>
          <t>Software engineering</t>
        </is>
      </c>
      <c r="E59" s="10" t="inlineStr">
        <is>
          <t>What practice lets a team rewind their project to last week's working state?</t>
        </is>
      </c>
      <c r="F59" s="10" t="inlineStr">
        <is>
          <t>Version control without naming it.</t>
        </is>
      </c>
      <c r="G59" s="16" t="inlineStr">
        <is>
          <t>Verified in corpus</t>
        </is>
      </c>
      <c r="H59" s="10" t="inlineStr">
        <is>
          <t>'version control': DS p.480,505,507… (4 pgs) | 'git': PY p.4,5,25… (19 pgs); DS p.4,5,27… (42 pgs); ODS p.7,11,12… (11 pgs); SE p.12,50,53… (7 pgs)</t>
        </is>
      </c>
      <c r="I59" s="16" t="inlineStr">
        <is>
          <t>Out-of-scope</t>
        </is>
      </c>
      <c r="J59" s="16" t="inlineStr">
        <is>
          <t>In-scope</t>
        </is>
      </c>
      <c r="K59" s="11">
        <f>IF(AND(I59&lt;&gt;"",J59&lt;&gt;""),IF(I59=J59,"Agree","DISAGREE"),"")</f>
        <v/>
      </c>
      <c r="L59" s="16" t="inlineStr">
        <is>
          <t>In-scope</t>
        </is>
      </c>
      <c r="M59" s="10" t="inlineStr">
        <is>
          <t>Verified by Claude 21-Jul-2026 (read cited pages; human spot-check advised): DS p.480. || ADJUDICATED (LLM-applied rules, pending author ratification): Rule 1+3 — DS p.480: version control defined incl. recovering prior states. Concept rule.</t>
        </is>
      </c>
    </row>
    <row r="60" ht="42" customHeight="1" s="23">
      <c r="A60" s="11" t="inlineStr">
        <is>
          <t>Q059</t>
        </is>
      </c>
      <c r="B60" s="20" t="inlineStr">
        <is>
          <t>In-scope hard</t>
        </is>
      </c>
      <c r="C60" s="11" t="inlineStr">
        <is>
          <t>Paraphrase</t>
        </is>
      </c>
      <c r="D60" s="11" t="inlineStr">
        <is>
          <t>Algorithms</t>
        </is>
      </c>
      <c r="E60" s="10" t="inlineStr">
        <is>
          <t>Why do some approaches slow down disproportionately as the input grows, while others stay manageable?</t>
        </is>
      </c>
      <c r="F60" s="10" t="inlineStr">
        <is>
          <t>Complexity growth, no Big-O keyword.</t>
        </is>
      </c>
      <c r="G60" s="16" t="inlineStr">
        <is>
          <t>Verified in corpus</t>
        </is>
      </c>
      <c r="H60" s="10" t="inlineStr">
        <is>
          <t>'complexity': DS p.69,97,100… (21 pgs); ODS p.3,21,31… (13 pgs)</t>
        </is>
      </c>
      <c r="I60" s="16" t="inlineStr">
        <is>
          <t>Out-of-scope</t>
        </is>
      </c>
      <c r="J60" s="16" t="inlineStr">
        <is>
          <t>In-scope</t>
        </is>
      </c>
      <c r="K60" s="11">
        <f>IF(AND(I60&lt;&gt;"",J60&lt;&gt;""),IF(I60=J60,"Agree","DISAGREE"),"")</f>
        <v/>
      </c>
      <c r="L60" s="16" t="inlineStr">
        <is>
          <t>In-scope</t>
        </is>
      </c>
      <c r="M60" s="10" t="inlineStr">
        <is>
          <t>Verified by Claude 21-Jul-2026 (read cited pages; human spot-check advised): ODS §1.3.3 + p.14 growth-rate reasoning. || ADJUDICATED (LLM-applied rules, pending author ratification): Rule 1+3 — ODS §1.3.3 asymptotics + p.14 growth-rate worked example. Concept rule.</t>
        </is>
      </c>
    </row>
    <row r="61" ht="55.5" customHeight="1" s="23">
      <c r="A61" s="11" t="inlineStr">
        <is>
          <t>Q060</t>
        </is>
      </c>
      <c r="B61" s="20" t="inlineStr">
        <is>
          <t>In-scope hard</t>
        </is>
      </c>
      <c r="C61" s="11" t="inlineStr">
        <is>
          <t>Paraphrase</t>
        </is>
      </c>
      <c r="D61" s="11" t="inlineStr">
        <is>
          <t>Data science</t>
        </is>
      </c>
      <c r="E61" s="10" t="inlineStr">
        <is>
          <t>What do we call tidying up half-finished, inconsistent spreadsheet exports before starting analysis?</t>
        </is>
      </c>
      <c r="F61" s="10" t="inlineStr">
        <is>
          <t>Data cleaning, colloquial.</t>
        </is>
      </c>
      <c r="G61" s="16" t="inlineStr">
        <is>
          <t>Verified in corpus</t>
        </is>
      </c>
      <c r="H61" s="10" t="inlineStr">
        <is>
          <t>'data cleaning': PY p.360,364,375… (5 pgs); DS p.7,69,83… (19 pgs) | 'preprocessing': PY p.375 (1 pgs); DS p.7,69,86… (22 pgs)</t>
        </is>
      </c>
      <c r="I61" s="16" t="inlineStr">
        <is>
          <t>In-scope</t>
        </is>
      </c>
      <c r="J61" s="16" t="inlineStr">
        <is>
          <t>In-scope</t>
        </is>
      </c>
      <c r="K61" s="11">
        <f>IF(AND(I61&lt;&gt;"",J61&lt;&gt;""),IF(I61=J61,"Agree","DISAGREE"),"")</f>
        <v/>
      </c>
      <c r="L61" s="16" t="inlineStr">
        <is>
          <t>In-scope</t>
        </is>
      </c>
      <c r="M61" s="10" t="inlineStr">
        <is>
          <t>Verified by Claude 21-Jul-2026 (read cited pages; human spot-check advised): DS §2.4.</t>
        </is>
      </c>
    </row>
    <row r="62" ht="55.5" customHeight="1" s="23">
      <c r="A62" s="11" t="inlineStr">
        <is>
          <t>Q061</t>
        </is>
      </c>
      <c r="B62" s="21" t="inlineStr">
        <is>
          <t>Tangential</t>
        </is>
      </c>
      <c r="C62" s="11" t="inlineStr">
        <is>
          <t>Near-topic absent</t>
        </is>
      </c>
      <c r="D62" s="11" t="inlineStr">
        <is>
          <t>Python advanced</t>
        </is>
      </c>
      <c r="E62" s="10" t="inlineStr">
        <is>
          <t>How does Python's Global Interpreter Lock affect multithreaded performance?</t>
        </is>
      </c>
      <c r="F62" s="10" t="inlineStr">
        <is>
          <t>Python vocabulary; GIL beyond intro corpus.</t>
        </is>
      </c>
      <c r="G62" s="16" t="inlineStr">
        <is>
          <t>Verified absent</t>
        </is>
      </c>
      <c r="H62" s="10" t="inlineStr">
        <is>
          <t>'gil': DS p.430,477 (2 pgs); ODS p.88,89,315 (3 pgs); SE p.5,10,11… (34 pgs)</t>
        </is>
      </c>
      <c r="I62" s="16" t="inlineStr">
        <is>
          <t>Out-of-scope</t>
        </is>
      </c>
      <c r="J62" s="16" t="inlineStr">
        <is>
          <t>Out-of-scope</t>
        </is>
      </c>
      <c r="K62" s="11">
        <f>IF(AND(I62&lt;&gt;"",J62&lt;&gt;""),IF(I62=J62,"Agree","DISAGREE"),"")</f>
        <v/>
      </c>
      <c r="L62" s="16" t="inlineStr">
        <is>
          <t>Out-of-scope</t>
        </is>
      </c>
      <c r="M62" s="10" t="inlineStr">
        <is>
          <t>Adjudicated by Claude 21-Jul-2026 (human spot-check advised): 'Gil' hits are baseball player names and 'agility' — no GIL content.</t>
        </is>
      </c>
    </row>
    <row r="63" ht="27.75" customHeight="1" s="23">
      <c r="A63" s="11" t="inlineStr">
        <is>
          <t>Q062</t>
        </is>
      </c>
      <c r="B63" s="21" t="inlineStr">
        <is>
          <t>Tangential</t>
        </is>
      </c>
      <c r="C63" s="11" t="inlineStr">
        <is>
          <t>Near-topic absent</t>
        </is>
      </c>
      <c r="D63" s="11" t="inlineStr">
        <is>
          <t>Python advanced</t>
        </is>
      </c>
      <c r="E63" s="10" t="inlineStr">
        <is>
          <t>How do Python metaclasses customise class creation?</t>
        </is>
      </c>
      <c r="F63" s="10" t="inlineStr">
        <is>
          <t>OOP-adjacent; advanced.</t>
        </is>
      </c>
      <c r="G63" s="16" t="inlineStr">
        <is>
          <t>Verified absent</t>
        </is>
      </c>
      <c r="H63" s="10" t="inlineStr">
        <is>
          <t>no hits</t>
        </is>
      </c>
      <c r="I63" s="16" t="inlineStr">
        <is>
          <t>Out-of-scope</t>
        </is>
      </c>
      <c r="J63" s="16" t="inlineStr">
        <is>
          <t>Out-of-scope</t>
        </is>
      </c>
      <c r="K63" s="11">
        <f>IF(AND(I63&lt;&gt;"",J63&lt;&gt;""),IF(I63=J63,"Agree","DISAGREE"),"")</f>
        <v/>
      </c>
      <c r="L63" s="16" t="inlineStr">
        <is>
          <t>Out-of-scope</t>
        </is>
      </c>
      <c r="M63" s="10" t="inlineStr">
        <is>
          <t>Machine-verified absent (lexical, normalized, 4 books)</t>
        </is>
      </c>
    </row>
    <row r="64" ht="27.75" customHeight="1" s="23">
      <c r="A64" s="11" t="inlineStr">
        <is>
          <t>Q063</t>
        </is>
      </c>
      <c r="B64" s="21" t="inlineStr">
        <is>
          <t>Tangential</t>
        </is>
      </c>
      <c r="C64" s="11" t="inlineStr">
        <is>
          <t>Near-topic absent</t>
        </is>
      </c>
      <c r="D64" s="11" t="inlineStr">
        <is>
          <t>Python advanced</t>
        </is>
      </c>
      <c r="E64" s="10" t="inlineStr">
        <is>
          <t>How does the asyncio event loop schedule coroutines, and how do coroutines differ from threads?</t>
        </is>
      </c>
      <c r="F64" s="10" t="inlineStr">
        <is>
          <t>Concurrency; absent.</t>
        </is>
      </c>
      <c r="G64" s="16" t="inlineStr">
        <is>
          <t>Verified absent</t>
        </is>
      </c>
      <c r="H64" s="10" t="inlineStr">
        <is>
          <t>no hits</t>
        </is>
      </c>
      <c r="I64" s="16" t="inlineStr">
        <is>
          <t>Out-of-scope</t>
        </is>
      </c>
      <c r="J64" s="16" t="inlineStr">
        <is>
          <t>Out-of-scope</t>
        </is>
      </c>
      <c r="K64" s="11">
        <f>IF(AND(I64&lt;&gt;"",J64&lt;&gt;""),IF(I64=J64,"Agree","DISAGREE"),"")</f>
        <v/>
      </c>
      <c r="L64" s="16" t="inlineStr">
        <is>
          <t>Out-of-scope</t>
        </is>
      </c>
      <c r="M64" s="10" t="inlineStr">
        <is>
          <t>Machine-verified absent (lexical, normalized, 4 books)</t>
        </is>
      </c>
    </row>
    <row r="65" ht="55.5" customHeight="1" s="23">
      <c r="A65" s="11" t="inlineStr">
        <is>
          <t>Q064</t>
        </is>
      </c>
      <c r="B65" s="21" t="inlineStr">
        <is>
          <t>Tangential</t>
        </is>
      </c>
      <c r="C65" s="11" t="inlineStr">
        <is>
          <t>Near-topic absent</t>
        </is>
      </c>
      <c r="D65" s="11" t="inlineStr">
        <is>
          <t>Python advanced</t>
        </is>
      </c>
      <c r="E65" s="10" t="inlineStr">
        <is>
          <t>How does CPython's garbage collector handle reference cycles?</t>
        </is>
      </c>
      <c r="F65" s="10" t="inlineStr">
        <is>
          <t>Memory-management internals.</t>
        </is>
      </c>
      <c r="G65" s="16" t="inlineStr">
        <is>
          <t>Verified absent</t>
        </is>
      </c>
      <c r="H65" s="10" t="inlineStr">
        <is>
          <t>'garbage collect': DS p.24 (1 pgs); ODS p.90 (1 pgs)</t>
        </is>
      </c>
      <c r="I65" s="16" t="inlineStr">
        <is>
          <t>Tangential</t>
        </is>
      </c>
      <c r="J65" s="16" t="inlineStr">
        <is>
          <t>Out-of-scope</t>
        </is>
      </c>
      <c r="K65" s="11">
        <f>IF(AND(I65&lt;&gt;"",J65&lt;&gt;""),IF(I65=J65,"Agree","DISAGREE"),"")</f>
        <v/>
      </c>
      <c r="L65" s="16" t="inlineStr">
        <is>
          <t>Tangential</t>
        </is>
      </c>
      <c r="M65" s="10" t="inlineStr">
        <is>
          <t>Adjudicated by Claude 21-Jul-2026 (human spot-check advised): 'Garbage collection' = literal trash bins in a smart-city example. No CPython GC. || ADJUDICATED (LLM-applied rules, pending author ratification): Rule 2 — Python objects/references taught (PY §3.3); CPython GC internals absent. Adjacent topic covered → Tangential.</t>
        </is>
      </c>
    </row>
    <row r="66" ht="27.75" customHeight="1" s="23">
      <c r="A66" s="11" t="inlineStr">
        <is>
          <t>Q065</t>
        </is>
      </c>
      <c r="B66" s="21" t="inlineStr">
        <is>
          <t>Tangential</t>
        </is>
      </c>
      <c r="C66" s="11" t="inlineStr">
        <is>
          <t>Near-topic absent</t>
        </is>
      </c>
      <c r="D66" s="11" t="inlineStr">
        <is>
          <t>Python advanced</t>
        </is>
      </c>
      <c r="E66" s="10" t="inlineStr">
        <is>
          <t>What are Python descriptors and how do properties use them?</t>
        </is>
      </c>
      <c r="F66" s="10" t="inlineStr">
        <is>
          <t>Advanced attribute access.</t>
        </is>
      </c>
      <c r="G66" s="16" t="inlineStr">
        <is>
          <t>Verified absent</t>
        </is>
      </c>
      <c r="H66" s="10" t="inlineStr">
        <is>
          <t>no hits</t>
        </is>
      </c>
      <c r="I66" s="16" t="inlineStr">
        <is>
          <t>Out-of-scope</t>
        </is>
      </c>
      <c r="J66" s="16" t="inlineStr">
        <is>
          <t>Tangential</t>
        </is>
      </c>
      <c r="K66" s="11">
        <f>IF(AND(I66&lt;&gt;"",J66&lt;&gt;""),IF(I66=J66,"Agree","DISAGREE"),"")</f>
        <v/>
      </c>
      <c r="L66" s="16" t="inlineStr">
        <is>
          <t>Tangential</t>
        </is>
      </c>
      <c r="M66" s="10" t="inlineStr">
        <is>
          <t>Machine-verified absent (lexical, normalized, 4 books) || ADJUDICATED (LLM-applied rules, pending author ratification): Rule 2 — Python OOP/properties-adjacent material covered; descriptors absent → Tangential.</t>
        </is>
      </c>
    </row>
    <row r="67" ht="27.75" customHeight="1" s="23">
      <c r="A67" s="11" t="inlineStr">
        <is>
          <t>Q066</t>
        </is>
      </c>
      <c r="B67" s="21" t="inlineStr">
        <is>
          <t>Tangential</t>
        </is>
      </c>
      <c r="C67" s="11" t="inlineStr">
        <is>
          <t>Near-topic absent</t>
        </is>
      </c>
      <c r="D67" s="11" t="inlineStr">
        <is>
          <t>OOP advanced</t>
        </is>
      </c>
      <c r="E67" s="10" t="inlineStr">
        <is>
          <t>How does C3 linearisation resolve method resolution order under multiple inheritance?</t>
        </is>
      </c>
      <c r="F67" s="10" t="inlineStr">
        <is>
          <t>Inheritance vocabulary; advanced.</t>
        </is>
      </c>
      <c r="G67" s="16" t="inlineStr">
        <is>
          <t>Verified absent</t>
        </is>
      </c>
      <c r="H67" s="10" t="inlineStr">
        <is>
          <t>no hits</t>
        </is>
      </c>
      <c r="I67" s="16" t="inlineStr">
        <is>
          <t>Out-of-scope</t>
        </is>
      </c>
      <c r="J67" s="16" t="inlineStr">
        <is>
          <t>Out-of-scope</t>
        </is>
      </c>
      <c r="K67" s="11">
        <f>IF(AND(I67&lt;&gt;"",J67&lt;&gt;""),IF(I67=J67,"Agree","DISAGREE"),"")</f>
        <v/>
      </c>
      <c r="L67" s="16" t="inlineStr">
        <is>
          <t>Out-of-scope</t>
        </is>
      </c>
      <c r="M67" s="10" t="inlineStr">
        <is>
          <t>Machine-verified absent (lexical, normalized, 4 books)</t>
        </is>
      </c>
    </row>
    <row r="68" ht="69.75" customHeight="1" s="23">
      <c r="A68" s="11" t="inlineStr">
        <is>
          <t>Q067</t>
        </is>
      </c>
      <c r="B68" s="21" t="inlineStr">
        <is>
          <t>Tangential</t>
        </is>
      </c>
      <c r="C68" s="11" t="inlineStr">
        <is>
          <t>Near-topic absent</t>
        </is>
      </c>
      <c r="D68" s="11" t="inlineStr">
        <is>
          <t>Data structures advanced</t>
        </is>
      </c>
      <c r="E68" s="10" t="inlineStr">
        <is>
          <t>How does consistent hashing distribute keys across servers with minimal remapping?</t>
        </is>
      </c>
      <c r="F68" s="10" t="inlineStr">
        <is>
          <t>REWRITTEN v3 (was: red-black tree rebalancing — REJECTED: ODS Ch.9 teaches red-black trees, 70 mentions). 'Hashing' is covered (lexical overlap); consistent hashing verified absent.</t>
        </is>
      </c>
      <c r="G68" s="16" t="inlineStr">
        <is>
          <t>Verified absent</t>
        </is>
      </c>
      <c r="H68" s="10" t="inlineStr">
        <is>
          <t>'hashing': DS p.405,406,407… (5 pgs); ODS p.5,113,115… (29 pgs)</t>
        </is>
      </c>
      <c r="I68" s="16" t="inlineStr">
        <is>
          <t>Out-of-scope</t>
        </is>
      </c>
      <c r="J68" s="16" t="inlineStr">
        <is>
          <t>Out-of-scope</t>
        </is>
      </c>
      <c r="K68" s="11">
        <f>IF(AND(I68&lt;&gt;"",J68&lt;&gt;""),IF(I68=J68,"Agree","DISAGREE"),"")</f>
        <v/>
      </c>
      <c r="L68" s="16" t="inlineStr">
        <is>
          <t>Out-of-scope</t>
        </is>
      </c>
      <c r="M68" s="10" t="inlineStr">
        <is>
          <t>Adjudicated by Claude 21-Jul-2026 (human spot-check advised): Overlap term present by design; the asked mechanism verified absent in all four books (normalized search).</t>
        </is>
      </c>
    </row>
    <row r="69" ht="126" customHeight="1" s="23">
      <c r="A69" s="11" t="inlineStr">
        <is>
          <t>Q068</t>
        </is>
      </c>
      <c r="B69" s="21" t="inlineStr">
        <is>
          <t>Tangential</t>
        </is>
      </c>
      <c r="C69" s="11" t="inlineStr">
        <is>
          <t>Near-topic absent</t>
        </is>
      </c>
      <c r="D69" s="11" t="inlineStr">
        <is>
          <t>Data structures advanced</t>
        </is>
      </c>
      <c r="E69" s="10" t="inlineStr">
        <is>
          <t>How does a B+ tree differ from a B tree for database indexing?</t>
        </is>
      </c>
      <c r="F69" s="10" t="inlineStr">
        <is>
          <t>B-tree indexing IS in DS Ch.2; B+ comparison absent.</t>
        </is>
      </c>
      <c r="G69" s="16" t="inlineStr">
        <is>
          <t>Verified absent</t>
        </is>
      </c>
      <c r="H69" s="10" t="inlineStr">
        <is>
          <t>'b-tree': DS p.101,102 (2 pgs); ODS p.7,289,290… (25 pgs)</t>
        </is>
      </c>
      <c r="I69" s="16" t="inlineStr">
        <is>
          <t>Out-of-scope</t>
        </is>
      </c>
      <c r="J69" s="16" t="inlineStr">
        <is>
          <t>In-scope</t>
        </is>
      </c>
      <c r="K69" s="11">
        <f>IF(AND(I69&lt;&gt;"",J69&lt;&gt;""),IF(I69=J69,"Agree","DISAGREE"),"")</f>
        <v/>
      </c>
      <c r="L69" s="16" t="inlineStr">
        <is>
          <t>Tangential</t>
        </is>
      </c>
      <c r="M69" s="10" t="inlineStr">
        <is>
          <t>Adjudicated by Claude 21-Jul-2026 (human spot-check advised): Re-adjudicated for 4-book corpus: ODS Ch.14 now teaches B-trees in depth (search/insert/remove/amortized analysis), but 'B+ tree' never appears — the asked comparison remains unanswerable. Now an even harder tangential: rich B-tree content will be retrieved. || ADJUDICATED (LLM-applied rules, pending author ratification): Rule 2+3 — B-trees taught in depth (ODS ch.14); 'B+ tree' has ZERO hits in all books (M's basis factually wrong) → Tangential. || V CONFIRMED In-scope 03-Aug-2026 — ratification complete.</t>
        </is>
      </c>
    </row>
    <row r="70" ht="69.75" customHeight="1" s="23">
      <c r="A70" s="11" t="inlineStr">
        <is>
          <t>Q069</t>
        </is>
      </c>
      <c r="B70" s="21" t="inlineStr">
        <is>
          <t>Tangential</t>
        </is>
      </c>
      <c r="C70" s="11" t="inlineStr">
        <is>
          <t>Near-topic absent</t>
        </is>
      </c>
      <c r="D70" s="11" t="inlineStr">
        <is>
          <t>Algorithms advanced</t>
        </is>
      </c>
      <c r="E70" s="10" t="inlineStr">
        <is>
          <t>How does a splay tree achieve amortised O(log n) performance without storing balance information?</t>
        </is>
      </c>
      <c r="F70" s="10" t="inlineStr">
        <is>
          <t>REWRITTEN v3 (was: Fibonacci-heap decrease-key — REJECTED: ODS §10.3 literally states the O(1) amortized answer). 'Amortized' analysis is covered (lexical overlap); splay trees verified absent.</t>
        </is>
      </c>
      <c r="G70" s="16" t="inlineStr">
        <is>
          <t>Verified absent</t>
        </is>
      </c>
      <c r="H70" s="10" t="inlineStr">
        <is>
          <t>'amortized': ODS p.4,7,32… (32 pgs)</t>
        </is>
      </c>
      <c r="I70" s="16" t="inlineStr">
        <is>
          <t>Out-of-scope</t>
        </is>
      </c>
      <c r="J70" s="16" t="inlineStr">
        <is>
          <t>Out-of-scope</t>
        </is>
      </c>
      <c r="K70" s="11">
        <f>IF(AND(I70&lt;&gt;"",J70&lt;&gt;""),IF(I70=J70,"Agree","DISAGREE"),"")</f>
        <v/>
      </c>
      <c r="L70" s="16" t="inlineStr">
        <is>
          <t>Out-of-scope</t>
        </is>
      </c>
      <c r="M70" s="10" t="inlineStr">
        <is>
          <t>Adjudicated by Claude 21-Jul-2026 (human spot-check advised): Overlap term present by design; the asked mechanism verified absent in all four books (normalized search).</t>
        </is>
      </c>
    </row>
    <row r="71" ht="27.75" customHeight="1" s="23">
      <c r="A71" s="11" t="inlineStr">
        <is>
          <t>Q070</t>
        </is>
      </c>
      <c r="B71" s="21" t="inlineStr">
        <is>
          <t>Tangential</t>
        </is>
      </c>
      <c r="C71" s="11" t="inlineStr">
        <is>
          <t>Near-topic absent</t>
        </is>
      </c>
      <c r="D71" s="11" t="inlineStr">
        <is>
          <t>Algorithms advanced</t>
        </is>
      </c>
      <c r="E71" s="10" t="inlineStr">
        <is>
          <t>How does Timsort exploit pre-existing runs in real-world data?</t>
        </is>
      </c>
      <c r="F71" s="10" t="inlineStr">
        <is>
          <t>Sorting vocabulary; Python's actual sort.</t>
        </is>
      </c>
      <c r="G71" s="16" t="inlineStr">
        <is>
          <t>Verified absent</t>
        </is>
      </c>
      <c r="H71" s="10" t="inlineStr">
        <is>
          <t>no hits</t>
        </is>
      </c>
      <c r="I71" s="16" t="inlineStr">
        <is>
          <t>Out-of-scope</t>
        </is>
      </c>
      <c r="J71" s="16" t="inlineStr">
        <is>
          <t>Tangential</t>
        </is>
      </c>
      <c r="K71" s="11">
        <f>IF(AND(I71&lt;&gt;"",J71&lt;&gt;""),IF(I71=J71,"Agree","DISAGREE"),"")</f>
        <v/>
      </c>
      <c r="L71" s="16" t="inlineStr">
        <is>
          <t>Tangential</t>
        </is>
      </c>
      <c r="M71" s="10" t="inlineStr">
        <is>
          <t>Machine-verified absent (lexical, normalized, 4 books) || ADJUDICATED (LLM-applied rules, pending author ratification): Rule 2 — Sorting covered extensively (ODS ch.11); Timsort absent → Tangential.</t>
        </is>
      </c>
    </row>
    <row r="72" ht="69.75" customHeight="1" s="23">
      <c r="A72" s="11" t="inlineStr">
        <is>
          <t>Q071</t>
        </is>
      </c>
      <c r="B72" s="21" t="inlineStr">
        <is>
          <t>Tangential</t>
        </is>
      </c>
      <c r="C72" s="11" t="inlineStr">
        <is>
          <t>Near-topic absent</t>
        </is>
      </c>
      <c r="D72" s="11" t="inlineStr">
        <is>
          <t>ML advanced</t>
        </is>
      </c>
      <c r="E72" s="10" t="inlineStr">
        <is>
          <t>How do residual connections (as in ResNets) mitigate the vanishing-gradient problem in very deep networks?</t>
        </is>
      </c>
      <c r="F72" s="10" t="inlineStr">
        <is>
          <t>REWRITTEN v2.1 (was: BPTT — REJECTED, taught in DS Ch.7). 'Vanishing gradient' covered (lexical overlap by design); ResNets absent.</t>
        </is>
      </c>
      <c r="G72" s="16" t="inlineStr">
        <is>
          <t>Verified absent</t>
        </is>
      </c>
      <c r="H72" s="10" t="inlineStr">
        <is>
          <t>'vanishing gradient': DS p.363,385,572 (3 pgs)</t>
        </is>
      </c>
      <c r="I72" s="16" t="inlineStr">
        <is>
          <t>Tangential</t>
        </is>
      </c>
      <c r="J72" s="16" t="inlineStr">
        <is>
          <t>Out-of-scope</t>
        </is>
      </c>
      <c r="K72" s="11">
        <f>IF(AND(I72&lt;&gt;"",J72&lt;&gt;""),IF(I72=J72,"Agree","DISAGREE"),"")</f>
        <v/>
      </c>
      <c r="L72" s="16" t="inlineStr">
        <is>
          <t>Tangential</t>
        </is>
      </c>
      <c r="M72" s="10" t="inlineStr">
        <is>
          <t>Adjudicated by Claude 21-Jul-2026 (human spot-check advised): Overlap term ('vanishing gradient') present by design; residual connections/ResNets verified absent (normalized search). || ADJUDICATED (LLM-applied rules, pending author ratification): Rule 2+3 — Vanishing gradients covered (DS, 4 pages); ResNets absent → Tangential.</t>
        </is>
      </c>
    </row>
    <row r="73" ht="69.75" customHeight="1" s="23">
      <c r="A73" s="11" t="inlineStr">
        <is>
          <t>Q072</t>
        </is>
      </c>
      <c r="B73" s="21" t="inlineStr">
        <is>
          <t>Tangential</t>
        </is>
      </c>
      <c r="C73" s="11" t="inlineStr">
        <is>
          <t>Near-topic absent</t>
        </is>
      </c>
      <c r="D73" s="11" t="inlineStr">
        <is>
          <t>ML advanced</t>
        </is>
      </c>
      <c r="E73" s="10" t="inlineStr">
        <is>
          <t>How do transformer attention heads differ from convolutional filters?</t>
        </is>
      </c>
      <c r="F73" s="10" t="inlineStr">
        <is>
          <t>Transformers survey-mentioned; comparison absent.</t>
        </is>
      </c>
      <c r="G73" s="16" t="inlineStr">
        <is>
          <t>Verified absent</t>
        </is>
      </c>
      <c r="H73" s="10" t="inlineStr">
        <is>
          <t>'transformer': DS p.374,375,376… (5 pgs)</t>
        </is>
      </c>
      <c r="I73" s="16" t="inlineStr">
        <is>
          <t>Out-of-scope</t>
        </is>
      </c>
      <c r="J73" s="16" t="inlineStr">
        <is>
          <t>Out-of-scope</t>
        </is>
      </c>
      <c r="K73" s="11">
        <f>IF(AND(I73&lt;&gt;"",J73&lt;&gt;""),IF(I73=J73,"Agree","DISAGREE"),"")</f>
        <v/>
      </c>
      <c r="L73" s="16" t="inlineStr">
        <is>
          <t>Out-of-scope</t>
        </is>
      </c>
      <c r="M73" s="10" t="inlineStr">
        <is>
          <t>Adjudicated by Claude 21-Jul-2026 (human spot-check advised): Transformers covered only as NLP-history survey (incl. Vaswani name-drop); the asked comparison absent. Strong hard negative.</t>
        </is>
      </c>
    </row>
    <row r="74" ht="55.5" customHeight="1" s="23">
      <c r="A74" s="11" t="inlineStr">
        <is>
          <t>Q073</t>
        </is>
      </c>
      <c r="B74" s="21" t="inlineStr">
        <is>
          <t>Tangential</t>
        </is>
      </c>
      <c r="C74" s="11" t="inlineStr">
        <is>
          <t>Near-topic absent</t>
        </is>
      </c>
      <c r="D74" s="11" t="inlineStr">
        <is>
          <t>ML advanced</t>
        </is>
      </c>
      <c r="E74" s="10" t="inlineStr">
        <is>
          <t>What is the exact mathematical form of the bias-variance decomposition?</t>
        </is>
      </c>
      <c r="F74" s="10" t="inlineStr">
        <is>
          <t>Trade-off conceptual only; math absent.</t>
        </is>
      </c>
      <c r="G74" s="16" t="inlineStr">
        <is>
          <t>Verified absent</t>
        </is>
      </c>
      <c r="H74" s="10" t="inlineStr">
        <is>
          <t>'bias-variance': DS p.285,486 (2 pgs)</t>
        </is>
      </c>
      <c r="I74" s="16" t="inlineStr">
        <is>
          <t>Out-of-scope</t>
        </is>
      </c>
      <c r="J74" s="16" t="inlineStr">
        <is>
          <t>Out-of-scope</t>
        </is>
      </c>
      <c r="K74" s="11">
        <f>IF(AND(I74&lt;&gt;"",J74&lt;&gt;""),IF(I74=J74,"Agree","DISAGREE"),"")</f>
        <v/>
      </c>
      <c r="L74" s="16" t="inlineStr">
        <is>
          <t>Out-of-scope</t>
        </is>
      </c>
      <c r="M74" s="10" t="inlineStr">
        <is>
          <t>Adjudicated by Claude 21-Jul-2026 (human spot-check advised): Bias-variance trade-off described conceptually; exact mathematical decomposition absent.</t>
        </is>
      </c>
    </row>
    <row r="75" ht="27.75" customHeight="1" s="23">
      <c r="A75" s="11" t="inlineStr">
        <is>
          <t>Q074</t>
        </is>
      </c>
      <c r="B75" s="21" t="inlineStr">
        <is>
          <t>Tangential</t>
        </is>
      </c>
      <c r="C75" s="11" t="inlineStr">
        <is>
          <t>Near-topic absent</t>
        </is>
      </c>
      <c r="D75" s="11" t="inlineStr">
        <is>
          <t>ML advanced</t>
        </is>
      </c>
      <c r="E75" s="10" t="inlineStr">
        <is>
          <t>How does XGBoost's regularised objective differ from standard gradient boosting?</t>
        </is>
      </c>
      <c r="F75" s="10" t="inlineStr">
        <is>
          <t>ML vocabulary; specific library.</t>
        </is>
      </c>
      <c r="G75" s="16" t="inlineStr">
        <is>
          <t>Verified absent</t>
        </is>
      </c>
      <c r="H75" s="10" t="inlineStr">
        <is>
          <t>no hits</t>
        </is>
      </c>
      <c r="I75" s="16" t="inlineStr">
        <is>
          <t>Out-of-scope</t>
        </is>
      </c>
      <c r="J75" s="16" t="inlineStr">
        <is>
          <t>Out-of-scope</t>
        </is>
      </c>
      <c r="K75" s="11">
        <f>IF(AND(I75&lt;&gt;"",J75&lt;&gt;""),IF(I75=J75,"Agree","DISAGREE"),"")</f>
        <v/>
      </c>
      <c r="L75" s="16" t="inlineStr">
        <is>
          <t>Out-of-scope</t>
        </is>
      </c>
      <c r="M75" s="10" t="inlineStr">
        <is>
          <t>Machine-verified absent (lexical, normalized, 4 books)</t>
        </is>
      </c>
    </row>
    <row r="76" ht="27.75" customHeight="1" s="23">
      <c r="A76" s="11" t="inlineStr">
        <is>
          <t>Q075</t>
        </is>
      </c>
      <c r="B76" s="21" t="inlineStr">
        <is>
          <t>Tangential</t>
        </is>
      </c>
      <c r="C76" s="11" t="inlineStr">
        <is>
          <t>Near-topic absent</t>
        </is>
      </c>
      <c r="D76" s="11" t="inlineStr">
        <is>
          <t>SE / deployment</t>
        </is>
      </c>
      <c r="E76" s="10" t="inlineStr">
        <is>
          <t>How do Docker containers differ from virtual machines for deploying Python applications?</t>
        </is>
      </c>
      <c r="F76" s="10" t="inlineStr">
        <is>
          <t>SE vocabulary; deployment absent.</t>
        </is>
      </c>
      <c r="G76" s="16" t="inlineStr">
        <is>
          <t>Verified absent</t>
        </is>
      </c>
      <c r="H76" s="10" t="inlineStr">
        <is>
          <t>no hits</t>
        </is>
      </c>
      <c r="I76" s="16" t="inlineStr">
        <is>
          <t>Out-of-scope</t>
        </is>
      </c>
      <c r="J76" s="16" t="inlineStr">
        <is>
          <t>Out-of-scope</t>
        </is>
      </c>
      <c r="K76" s="11">
        <f>IF(AND(I76&lt;&gt;"",J76&lt;&gt;""),IF(I76=J76,"Agree","DISAGREE"),"")</f>
        <v/>
      </c>
      <c r="L76" s="16" t="inlineStr">
        <is>
          <t>Out-of-scope</t>
        </is>
      </c>
      <c r="M76" s="10" t="inlineStr">
        <is>
          <t>Machine-verified absent (lexical, normalized, 4 books)</t>
        </is>
      </c>
    </row>
    <row r="77" ht="27.75" customHeight="1" s="23">
      <c r="A77" s="11" t="inlineStr">
        <is>
          <t>Q076</t>
        </is>
      </c>
      <c r="B77" s="21" t="inlineStr">
        <is>
          <t>Tangential</t>
        </is>
      </c>
      <c r="C77" s="11" t="inlineStr">
        <is>
          <t>Near-topic absent</t>
        </is>
      </c>
      <c r="D77" s="11" t="inlineStr">
        <is>
          <t>SE / deployment</t>
        </is>
      </c>
      <c r="E77" s="10" t="inlineStr">
        <is>
          <t>How do you configure a CI/CD pipeline for releasing a Python package?</t>
        </is>
      </c>
      <c r="F77" s="10" t="inlineStr">
        <is>
          <t>SE vocabulary; DevOps absent.</t>
        </is>
      </c>
      <c r="G77" s="16" t="inlineStr">
        <is>
          <t>Verified absent</t>
        </is>
      </c>
      <c r="H77" s="10" t="inlineStr">
        <is>
          <t>no hits</t>
        </is>
      </c>
      <c r="I77" s="16" t="inlineStr">
        <is>
          <t>Out-of-scope</t>
        </is>
      </c>
      <c r="J77" s="16" t="inlineStr">
        <is>
          <t>Tangential</t>
        </is>
      </c>
      <c r="K77" s="11">
        <f>IF(AND(I77&lt;&gt;"",J77&lt;&gt;""),IF(I77=J77,"Agree","DISAGREE"),"")</f>
        <v/>
      </c>
      <c r="L77" s="16" t="inlineStr">
        <is>
          <t>Tangential</t>
        </is>
      </c>
      <c r="M77" s="10" t="inlineStr">
        <is>
          <t>Machine-verified absent (lexical, normalized, 4 books) || ADJUDICATED (LLM-applied rules, pending author ratification): Rule 2 — SE process/release practices covered; CI/CD absent → Tangential.</t>
        </is>
      </c>
    </row>
    <row r="78" ht="27.75" customHeight="1" s="23">
      <c r="A78" s="11" t="inlineStr">
        <is>
          <t>Q077</t>
        </is>
      </c>
      <c r="B78" s="21" t="inlineStr">
        <is>
          <t>Tangential</t>
        </is>
      </c>
      <c r="C78" s="11" t="inlineStr">
        <is>
          <t>Near-topic absent</t>
        </is>
      </c>
      <c r="D78" s="11" t="inlineStr">
        <is>
          <t>SE / deployment</t>
        </is>
      </c>
      <c r="E78" s="10" t="inlineStr">
        <is>
          <t>What does semantic versioning require when an API change is backwards-incompatible?</t>
        </is>
      </c>
      <c r="F78" s="10" t="inlineStr">
        <is>
          <t>Versioning-adjacent.</t>
        </is>
      </c>
      <c r="G78" s="16" t="inlineStr">
        <is>
          <t>Verified absent</t>
        </is>
      </c>
      <c r="H78" s="10" t="inlineStr">
        <is>
          <t>no hits</t>
        </is>
      </c>
      <c r="I78" s="16" t="inlineStr">
        <is>
          <t>Out-of-scope</t>
        </is>
      </c>
      <c r="J78" s="16" t="inlineStr">
        <is>
          <t>Out-of-scope</t>
        </is>
      </c>
      <c r="K78" s="11">
        <f>IF(AND(I78&lt;&gt;"",J78&lt;&gt;""),IF(I78=J78,"Agree","DISAGREE"),"")</f>
        <v/>
      </c>
      <c r="L78" s="16" t="inlineStr">
        <is>
          <t>Out-of-scope</t>
        </is>
      </c>
      <c r="M78" s="10" t="inlineStr">
        <is>
          <t>Machine-verified absent (lexical, normalized, 4 books)</t>
        </is>
      </c>
    </row>
    <row r="79" ht="27.75" customHeight="1" s="23">
      <c r="A79" s="11" t="inlineStr">
        <is>
          <t>Q078</t>
        </is>
      </c>
      <c r="B79" s="21" t="inlineStr">
        <is>
          <t>Tangential</t>
        </is>
      </c>
      <c r="C79" s="11" t="inlineStr">
        <is>
          <t>Near-topic absent</t>
        </is>
      </c>
      <c r="D79" s="11" t="inlineStr">
        <is>
          <t>Python ecosystem</t>
        </is>
      </c>
      <c r="E79" s="10" t="inlineStr">
        <is>
          <t>How does PEP 703's free-threaded mode change CPython?</t>
        </is>
      </c>
      <c r="F79" s="10" t="inlineStr">
        <is>
          <t>Python vocabulary; recent internals.</t>
        </is>
      </c>
      <c r="G79" s="16" t="inlineStr">
        <is>
          <t>Verified absent</t>
        </is>
      </c>
      <c r="H79" s="10" t="inlineStr">
        <is>
          <t>no hits</t>
        </is>
      </c>
      <c r="I79" s="16" t="inlineStr">
        <is>
          <t>Out-of-scope</t>
        </is>
      </c>
      <c r="J79" s="16" t="inlineStr">
        <is>
          <t>Out-of-scope</t>
        </is>
      </c>
      <c r="K79" s="11">
        <f>IF(AND(I79&lt;&gt;"",J79&lt;&gt;""),IF(I79=J79,"Agree","DISAGREE"),"")</f>
        <v/>
      </c>
      <c r="L79" s="16" t="inlineStr">
        <is>
          <t>Out-of-scope</t>
        </is>
      </c>
      <c r="M79" s="10" t="inlineStr">
        <is>
          <t>Machine-verified absent (lexical, normalized, 4 books)</t>
        </is>
      </c>
    </row>
    <row r="80" ht="55.5" customHeight="1" s="23">
      <c r="A80" s="11" t="inlineStr">
        <is>
          <t>Q079</t>
        </is>
      </c>
      <c r="B80" s="21" t="inlineStr">
        <is>
          <t>Tangential</t>
        </is>
      </c>
      <c r="C80" s="11" t="inlineStr">
        <is>
          <t>Near-topic absent</t>
        </is>
      </c>
      <c r="D80" s="11" t="inlineStr">
        <is>
          <t>Python ecosystem</t>
        </is>
      </c>
      <c r="E80" s="10" t="inlineStr">
        <is>
          <t>What are Python wheels, and how does pip resolve dependency conflicts?</t>
        </is>
      </c>
      <c r="F80" s="10" t="inlineStr">
        <is>
          <t>Packaging; absent from textbooks.</t>
        </is>
      </c>
      <c r="G80" s="16" t="inlineStr">
        <is>
          <t>Verified absent</t>
        </is>
      </c>
      <c r="H80" s="10" t="inlineStr">
        <is>
          <t>'wheel': PY p.158 (1 pgs); DS p.382,526 (2 pgs)</t>
        </is>
      </c>
      <c r="I80" s="16" t="inlineStr">
        <is>
          <t>Out-of-scope</t>
        </is>
      </c>
      <c r="J80" s="16" t="inlineStr">
        <is>
          <t>Out-of-scope</t>
        </is>
      </c>
      <c r="K80" s="11">
        <f>IF(AND(I80&lt;&gt;"",J80&lt;&gt;""),IF(I80=J80,"Agree","DISAGREE"),"")</f>
        <v/>
      </c>
      <c r="L80" s="16" t="inlineStr">
        <is>
          <t>Out-of-scope</t>
        </is>
      </c>
      <c r="M80" s="10" t="inlineStr">
        <is>
          <t>Adjudicated by Claude 21-Jul-2026 (human spot-check advised): 'Wheel' hits: 'reinventing the wheel', car wheels, author 'Wheeler'. No packaging content.</t>
        </is>
      </c>
    </row>
    <row r="81" ht="27.75" customHeight="1" s="23">
      <c r="A81" s="11" t="inlineStr">
        <is>
          <t>Q080</t>
        </is>
      </c>
      <c r="B81" s="21" t="inlineStr">
        <is>
          <t>Tangential</t>
        </is>
      </c>
      <c r="C81" s="11" t="inlineStr">
        <is>
          <t>Near-topic absent</t>
        </is>
      </c>
      <c r="D81" s="11" t="inlineStr">
        <is>
          <t>Data science advanced</t>
        </is>
      </c>
      <c r="E81" s="10" t="inlineStr">
        <is>
          <t>How does NumPy's stride-based memory layout enable broadcasting?</t>
        </is>
      </c>
      <c r="F81" s="10" t="inlineStr">
        <is>
          <t>DS vocabulary; library internals.</t>
        </is>
      </c>
      <c r="G81" s="16" t="inlineStr">
        <is>
          <t>Verified absent</t>
        </is>
      </c>
      <c r="H81" s="10" t="inlineStr">
        <is>
          <t>no hits</t>
        </is>
      </c>
      <c r="I81" s="16" t="inlineStr">
        <is>
          <t>Out-of-scope</t>
        </is>
      </c>
      <c r="J81" s="16" t="inlineStr">
        <is>
          <t>Tangential</t>
        </is>
      </c>
      <c r="K81" s="11">
        <f>IF(AND(I81&lt;&gt;"",J81&lt;&gt;""),IF(I81=J81,"Agree","DISAGREE"),"")</f>
        <v/>
      </c>
      <c r="L81" s="16" t="inlineStr">
        <is>
          <t>Tangential</t>
        </is>
      </c>
      <c r="M81" s="10" t="inlineStr">
        <is>
          <t>Machine-verified absent (lexical, normalized, 4 books) || ADJUDICATED (LLM-applied rules, pending author ratification): Rule 2 — NumPy taught (PY §15.2); strides/broadcasting internals absent → Tangential.</t>
        </is>
      </c>
    </row>
    <row r="82" ht="27.75" customHeight="1" s="23">
      <c r="A82" s="11" t="inlineStr">
        <is>
          <t>Q081</t>
        </is>
      </c>
      <c r="B82" s="22" t="inlineStr">
        <is>
          <t>Out-of-scope</t>
        </is>
      </c>
      <c r="C82" s="11" t="inlineStr">
        <is>
          <t>Unrelated domain</t>
        </is>
      </c>
      <c r="D82" s="11" t="inlineStr">
        <is>
          <t>History</t>
        </is>
      </c>
      <c r="E82" s="10" t="inlineStr">
        <is>
          <t>What were the main causes of the French Revolution?</t>
        </is>
      </c>
      <c r="F82" s="10" t="inlineStr">
        <is>
          <t>Zero corpus overlap.</t>
        </is>
      </c>
      <c r="G82" s="16" t="inlineStr">
        <is>
          <t>Verified absent</t>
        </is>
      </c>
      <c r="H82" s="10" t="inlineStr">
        <is>
          <t>no hits</t>
        </is>
      </c>
      <c r="I82" s="16" t="inlineStr">
        <is>
          <t>Out-of-scope</t>
        </is>
      </c>
      <c r="J82" s="16" t="inlineStr">
        <is>
          <t>Out-of-scope</t>
        </is>
      </c>
      <c r="K82" s="11">
        <f>IF(AND(I82&lt;&gt;"",J82&lt;&gt;""),IF(I82=J82,"Agree","DISAGREE"),"")</f>
        <v/>
      </c>
      <c r="L82" s="16" t="inlineStr">
        <is>
          <t>Out-of-scope</t>
        </is>
      </c>
      <c r="M82" s="10" t="inlineStr">
        <is>
          <t>Machine-verified absent (lexical, normalized, 4 books)</t>
        </is>
      </c>
    </row>
    <row r="83" ht="42" customHeight="1" s="23">
      <c r="A83" s="11" t="inlineStr">
        <is>
          <t>Q082</t>
        </is>
      </c>
      <c r="B83" s="22" t="inlineStr">
        <is>
          <t>Out-of-scope</t>
        </is>
      </c>
      <c r="C83" s="11" t="inlineStr">
        <is>
          <t>Unrelated domain</t>
        </is>
      </c>
      <c r="D83" s="11" t="inlineStr">
        <is>
          <t>Cooking</t>
        </is>
      </c>
      <c r="E83" s="10" t="inlineStr">
        <is>
          <t>What is the safe internal cooking temperature for chicken?</t>
        </is>
      </c>
      <c r="F83" s="10" t="inlineStr">
        <is>
          <t>Zero corpus overlap.</t>
        </is>
      </c>
      <c r="G83" s="16" t="inlineStr">
        <is>
          <t>Verified absent</t>
        </is>
      </c>
      <c r="H83" s="10" t="inlineStr">
        <is>
          <t>'cooking': DS p.403 (1 pgs)</t>
        </is>
      </c>
      <c r="I83" s="16" t="inlineStr">
        <is>
          <t>Out-of-scope</t>
        </is>
      </c>
      <c r="J83" s="16" t="inlineStr">
        <is>
          <t>Out-of-scope</t>
        </is>
      </c>
      <c r="K83" s="11">
        <f>IF(AND(I83&lt;&gt;"",J83&lt;&gt;""),IF(I83=J83,"Agree","DISAGREE"),"")</f>
        <v/>
      </c>
      <c r="L83" s="16" t="inlineStr">
        <is>
          <t>Out-of-scope</t>
        </is>
      </c>
      <c r="M83" s="10" t="inlineStr">
        <is>
          <t>Adjudicated by Claude 21-Jul-2026 (human spot-check advised): Only 'cooking the books' idiom.</t>
        </is>
      </c>
    </row>
    <row r="84" ht="27.75" customHeight="1" s="23">
      <c r="A84" s="11" t="inlineStr">
        <is>
          <t>Q083</t>
        </is>
      </c>
      <c r="B84" s="22" t="inlineStr">
        <is>
          <t>Out-of-scope</t>
        </is>
      </c>
      <c r="C84" s="11" t="inlineStr">
        <is>
          <t>Unrelated domain</t>
        </is>
      </c>
      <c r="D84" s="11" t="inlineStr">
        <is>
          <t>Biology</t>
        </is>
      </c>
      <c r="E84" s="10" t="inlineStr">
        <is>
          <t>How does photosynthesis convert light energy into glucose?</t>
        </is>
      </c>
      <c r="F84" s="10" t="inlineStr">
        <is>
          <t>Zero corpus overlap.</t>
        </is>
      </c>
      <c r="G84" s="16" t="inlineStr">
        <is>
          <t>Verified absent</t>
        </is>
      </c>
      <c r="H84" s="10" t="inlineStr">
        <is>
          <t>no hits</t>
        </is>
      </c>
      <c r="I84" s="16" t="inlineStr">
        <is>
          <t>Out-of-scope</t>
        </is>
      </c>
      <c r="J84" s="16" t="inlineStr">
        <is>
          <t>Out-of-scope</t>
        </is>
      </c>
      <c r="K84" s="11">
        <f>IF(AND(I84&lt;&gt;"",J84&lt;&gt;""),IF(I84=J84,"Agree","DISAGREE"),"")</f>
        <v/>
      </c>
      <c r="L84" s="16" t="inlineStr">
        <is>
          <t>Out-of-scope</t>
        </is>
      </c>
      <c r="M84" s="10" t="inlineStr">
        <is>
          <t>Machine-verified absent (lexical, normalized, 4 books)</t>
        </is>
      </c>
    </row>
    <row r="85" ht="27.75" customHeight="1" s="23">
      <c r="A85" s="11" t="inlineStr">
        <is>
          <t>Q084</t>
        </is>
      </c>
      <c r="B85" s="22" t="inlineStr">
        <is>
          <t>Out-of-scope</t>
        </is>
      </c>
      <c r="C85" s="11" t="inlineStr">
        <is>
          <t>Unrelated domain</t>
        </is>
      </c>
      <c r="D85" s="11" t="inlineStr">
        <is>
          <t>Sport</t>
        </is>
      </c>
      <c r="E85" s="10" t="inlineStr">
        <is>
          <t>Which country won the FIFA World Cup in 2018?</t>
        </is>
      </c>
      <c r="F85" s="10" t="inlineStr">
        <is>
          <t>Zero corpus overlap.</t>
        </is>
      </c>
      <c r="G85" s="16" t="inlineStr">
        <is>
          <t>Verified absent</t>
        </is>
      </c>
      <c r="H85" s="10" t="inlineStr">
        <is>
          <t>no hits</t>
        </is>
      </c>
      <c r="I85" s="16" t="inlineStr">
        <is>
          <t>Out-of-scope</t>
        </is>
      </c>
      <c r="J85" s="16" t="inlineStr">
        <is>
          <t>Out-of-scope</t>
        </is>
      </c>
      <c r="K85" s="11">
        <f>IF(AND(I85&lt;&gt;"",J85&lt;&gt;""),IF(I85=J85,"Agree","DISAGREE"),"")</f>
        <v/>
      </c>
      <c r="L85" s="16" t="inlineStr">
        <is>
          <t>Out-of-scope</t>
        </is>
      </c>
      <c r="M85" s="10" t="inlineStr">
        <is>
          <t>Machine-verified absent (lexical, normalized, 4 books)</t>
        </is>
      </c>
    </row>
    <row r="86" ht="27.75" customHeight="1" s="23">
      <c r="A86" s="11" t="inlineStr">
        <is>
          <t>Q085</t>
        </is>
      </c>
      <c r="B86" s="22" t="inlineStr">
        <is>
          <t>Out-of-scope</t>
        </is>
      </c>
      <c r="C86" s="11" t="inlineStr">
        <is>
          <t>Unrelated domain</t>
        </is>
      </c>
      <c r="D86" s="11" t="inlineStr">
        <is>
          <t>Health</t>
        </is>
      </c>
      <c r="E86" s="10" t="inlineStr">
        <is>
          <t>What are the claimed health effects of intermittent fasting?</t>
        </is>
      </c>
      <c r="F86" s="10" t="inlineStr">
        <is>
          <t>Zero corpus overlap.</t>
        </is>
      </c>
      <c r="G86" s="16" t="inlineStr">
        <is>
          <t>Verified absent</t>
        </is>
      </c>
      <c r="H86" s="10" t="inlineStr">
        <is>
          <t>no hits</t>
        </is>
      </c>
      <c r="I86" s="16" t="inlineStr">
        <is>
          <t>Out-of-scope</t>
        </is>
      </c>
      <c r="J86" s="16" t="inlineStr">
        <is>
          <t>Out-of-scope</t>
        </is>
      </c>
      <c r="K86" s="11">
        <f>IF(AND(I86&lt;&gt;"",J86&lt;&gt;""),IF(I86=J86,"Agree","DISAGREE"),"")</f>
        <v/>
      </c>
      <c r="L86" s="16" t="inlineStr">
        <is>
          <t>Out-of-scope</t>
        </is>
      </c>
      <c r="M86" s="10" t="inlineStr">
        <is>
          <t>Machine-verified absent (lexical, normalized, 4 books)</t>
        </is>
      </c>
    </row>
    <row r="87" ht="55.5" customHeight="1" s="23">
      <c r="A87" s="11" t="inlineStr">
        <is>
          <t>Q086</t>
        </is>
      </c>
      <c r="B87" s="22" t="inlineStr">
        <is>
          <t>Out-of-scope</t>
        </is>
      </c>
      <c r="C87" s="11" t="inlineStr">
        <is>
          <t>Near-domain absent</t>
        </is>
      </c>
      <c r="D87" s="11" t="inlineStr">
        <is>
          <t>Rust</t>
        </is>
      </c>
      <c r="E87" s="10" t="inlineStr">
        <is>
          <t>How does Rust's borrow checker prevent data races?</t>
        </is>
      </c>
      <c r="F87" s="10" t="inlineStr">
        <is>
          <t>Different language.</t>
        </is>
      </c>
      <c r="G87" s="16" t="inlineStr">
        <is>
          <t>Verified absent</t>
        </is>
      </c>
      <c r="H87" s="10" t="inlineStr">
        <is>
          <t>'rust': PY p.5,15,94 (3 pgs); DS p.5,16,106… (14 pgs); SE p.94,95 (2 pgs)</t>
        </is>
      </c>
      <c r="I87" s="16" t="inlineStr">
        <is>
          <t>Out-of-scope</t>
        </is>
      </c>
      <c r="J87" s="16" t="inlineStr">
        <is>
          <t>Out-of-scope</t>
        </is>
      </c>
      <c r="K87" s="11">
        <f>IF(AND(I87&lt;&gt;"",J87&lt;&gt;""),IF(I87=J87,"Agree","DISAGREE"),"")</f>
        <v/>
      </c>
      <c r="L87" s="16" t="inlineStr">
        <is>
          <t>Out-of-scope</t>
        </is>
      </c>
      <c r="M87" s="10" t="inlineStr">
        <is>
          <t>Adjudicated by Claude 21-Jul-2026 (human spot-check advised): 'Rust' hits: donor 'Rusty', 'trust', one list-exercise string. No Rust-language content.</t>
        </is>
      </c>
    </row>
    <row r="88" ht="55.5" customHeight="1" s="23">
      <c r="A88" s="11" t="inlineStr">
        <is>
          <t>Q087</t>
        </is>
      </c>
      <c r="B88" s="22" t="inlineStr">
        <is>
          <t>Out-of-scope</t>
        </is>
      </c>
      <c r="C88" s="11" t="inlineStr">
        <is>
          <t>Near-domain absent</t>
        </is>
      </c>
      <c r="D88" s="11" t="inlineStr">
        <is>
          <t>SQL</t>
        </is>
      </c>
      <c r="E88" s="10" t="inlineStr">
        <is>
          <t>What is the syntax for a LEFT JOIN in SQL?</t>
        </is>
      </c>
      <c r="F88" s="10" t="inlineStr">
        <is>
          <t>SQL name-dropped only; syntax never taught.</t>
        </is>
      </c>
      <c r="G88" s="16" t="inlineStr">
        <is>
          <t>Verified absent</t>
        </is>
      </c>
      <c r="H88" s="10" t="inlineStr">
        <is>
          <t>'sql': DS p.40,101,107… (4 pgs)</t>
        </is>
      </c>
      <c r="I88" s="16" t="inlineStr">
        <is>
          <t>Out-of-scope</t>
        </is>
      </c>
      <c r="J88" s="16" t="inlineStr">
        <is>
          <t>Out-of-scope</t>
        </is>
      </c>
      <c r="K88" s="11">
        <f>IF(AND(I88&lt;&gt;"",J88&lt;&gt;""),IF(I88=J88,"Agree","DISAGREE"),"")</f>
        <v/>
      </c>
      <c r="L88" s="16" t="inlineStr">
        <is>
          <t>Out-of-scope</t>
        </is>
      </c>
      <c r="M88" s="10" t="inlineStr">
        <is>
          <t>Adjudicated by Claude 21-Jul-2026 (human spot-check advised): SQL name-dropped in tools survey and DB definition; LEFT JOIN never taught.</t>
        </is>
      </c>
    </row>
    <row r="89" ht="27.75" customHeight="1" s="23">
      <c r="A89" s="11" t="inlineStr">
        <is>
          <t>Q088</t>
        </is>
      </c>
      <c r="B89" s="22" t="inlineStr">
        <is>
          <t>Out-of-scope</t>
        </is>
      </c>
      <c r="C89" s="11" t="inlineStr">
        <is>
          <t>Near-domain absent</t>
        </is>
      </c>
      <c r="D89" s="11" t="inlineStr">
        <is>
          <t>Java</t>
        </is>
      </c>
      <c r="E89" s="10" t="inlineStr">
        <is>
          <t>How does the Java Virtual Machine perform just-in-time compilation?</t>
        </is>
      </c>
      <c r="F89" s="10" t="inlineStr">
        <is>
          <t>Different runtime.</t>
        </is>
      </c>
      <c r="G89" s="16" t="inlineStr">
        <is>
          <t>Verified absent</t>
        </is>
      </c>
      <c r="H89" s="10" t="inlineStr">
        <is>
          <t>no hits</t>
        </is>
      </c>
      <c r="I89" s="16" t="inlineStr">
        <is>
          <t>Out-of-scope</t>
        </is>
      </c>
      <c r="J89" s="16" t="inlineStr">
        <is>
          <t>Out-of-scope</t>
        </is>
      </c>
      <c r="K89" s="11">
        <f>IF(AND(I89&lt;&gt;"",J89&lt;&gt;""),IF(I89=J89,"Agree","DISAGREE"),"")</f>
        <v/>
      </c>
      <c r="L89" s="16" t="inlineStr">
        <is>
          <t>Out-of-scope</t>
        </is>
      </c>
      <c r="M89" s="10" t="inlineStr">
        <is>
          <t>Machine-verified absent (lexical, normalized, 4 books)</t>
        </is>
      </c>
    </row>
    <row r="90" ht="55.5" customHeight="1" s="23">
      <c r="A90" s="11" t="inlineStr">
        <is>
          <t>Q089</t>
        </is>
      </c>
      <c r="B90" s="22" t="inlineStr">
        <is>
          <t>Out-of-scope</t>
        </is>
      </c>
      <c r="C90" s="11" t="inlineStr">
        <is>
          <t>Near-domain absent</t>
        </is>
      </c>
      <c r="D90" s="11" t="inlineStr">
        <is>
          <t>JavaScript</t>
        </is>
      </c>
      <c r="E90" s="10" t="inlineStr">
        <is>
          <t>What are React hooks and what problem do they solve?</t>
        </is>
      </c>
      <c r="F90" s="10" t="inlineStr">
        <is>
          <t>Web development.</t>
        </is>
      </c>
      <c r="G90" s="16" t="inlineStr">
        <is>
          <t>Verified absent</t>
        </is>
      </c>
      <c r="H90" s="10" t="inlineStr">
        <is>
          <t>'javascript': PY p.42,44,74… (4 pgs); DS p.31,34,63… (5 pgs); SE p.106 (1 pgs)</t>
        </is>
      </c>
      <c r="I90" s="16" t="inlineStr">
        <is>
          <t>Out-of-scope</t>
        </is>
      </c>
      <c r="J90" s="16" t="inlineStr">
        <is>
          <t>Out-of-scope</t>
        </is>
      </c>
      <c r="K90" s="11">
        <f>IF(AND(I90&lt;&gt;"",J90&lt;&gt;""),IF(I90=J90,"Agree","DISAGREE"),"")</f>
        <v/>
      </c>
      <c r="L90" s="16" t="inlineStr">
        <is>
          <t>Out-of-scope</t>
        </is>
      </c>
      <c r="M90" s="10" t="inlineStr">
        <is>
          <t>Adjudicated by Claude 21-Jul-2026 (human spot-check advised): JavaScript appears re: JSON and popularity charts; React hooks absent.</t>
        </is>
      </c>
    </row>
    <row r="91" ht="27.75" customHeight="1" s="23">
      <c r="A91" s="11" t="inlineStr">
        <is>
          <t>Q090</t>
        </is>
      </c>
      <c r="B91" s="22" t="inlineStr">
        <is>
          <t>Out-of-scope</t>
        </is>
      </c>
      <c r="C91" s="11" t="inlineStr">
        <is>
          <t>Near-domain absent</t>
        </is>
      </c>
      <c r="D91" s="11" t="inlineStr">
        <is>
          <t>DevOps</t>
        </is>
      </c>
      <c r="E91" s="10" t="inlineStr">
        <is>
          <t>How does Kubernetes schedule pods across nodes?</t>
        </is>
      </c>
      <c r="F91" s="10" t="inlineStr">
        <is>
          <t>Infrastructure.</t>
        </is>
      </c>
      <c r="G91" s="16" t="inlineStr">
        <is>
          <t>Verified absent</t>
        </is>
      </c>
      <c r="H91" s="10" t="inlineStr">
        <is>
          <t>no hits</t>
        </is>
      </c>
      <c r="I91" s="16" t="inlineStr">
        <is>
          <t>Out-of-scope</t>
        </is>
      </c>
      <c r="J91" s="16" t="inlineStr">
        <is>
          <t>Out-of-scope</t>
        </is>
      </c>
      <c r="K91" s="11">
        <f>IF(AND(I91&lt;&gt;"",J91&lt;&gt;""),IF(I91=J91,"Agree","DISAGREE"),"")</f>
        <v/>
      </c>
      <c r="L91" s="16" t="inlineStr">
        <is>
          <t>Out-of-scope</t>
        </is>
      </c>
      <c r="M91" s="10" t="inlineStr">
        <is>
          <t>Machine-verified absent (lexical, normalized, 4 books)</t>
        </is>
      </c>
    </row>
    <row r="92" ht="55.5" customHeight="1" s="23">
      <c r="A92" s="11" t="inlineStr">
        <is>
          <t>Q091</t>
        </is>
      </c>
      <c r="B92" s="22" t="inlineStr">
        <is>
          <t>Out-of-scope</t>
        </is>
      </c>
      <c r="C92" s="11" t="inlineStr">
        <is>
          <t>False premise</t>
        </is>
      </c>
      <c r="D92" s="11" t="inlineStr">
        <is>
          <t>Corpus meta</t>
        </is>
      </c>
      <c r="E92" s="10" t="inlineStr">
        <is>
          <t>What does chapter 47 of the Python textbook say about quantum computing?</t>
        </is>
      </c>
      <c r="F92" s="10" t="inlineStr">
        <is>
          <t>No such chapter.</t>
        </is>
      </c>
      <c r="G92" s="16" t="inlineStr">
        <is>
          <t>Verified absent</t>
        </is>
      </c>
      <c r="H92" s="10" t="inlineStr">
        <is>
          <t>'quantum computing': PY p.131 (1 pgs)</t>
        </is>
      </c>
      <c r="I92" s="16" t="inlineStr">
        <is>
          <t>Out-of-scope</t>
        </is>
      </c>
      <c r="J92" s="16" t="inlineStr">
        <is>
          <t>Out-of-scope</t>
        </is>
      </c>
      <c r="K92" s="11">
        <f>IF(AND(I92&lt;&gt;"",J92&lt;&gt;""),IF(I92=J92,"Agree","DISAGREE"),"")</f>
        <v/>
      </c>
      <c r="L92" s="16" t="inlineStr">
        <is>
          <t>Out-of-scope</t>
        </is>
      </c>
      <c r="M92" s="10" t="inlineStr">
        <is>
          <t>Adjudicated by Claude 21-Jul-2026 (human spot-check advised): Sole hit is a Flickr photo credit (Ch.5 Loops opener image). False premise stands.</t>
        </is>
      </c>
    </row>
    <row r="93" ht="55.5" customHeight="1" s="23">
      <c r="A93" s="11" t="inlineStr">
        <is>
          <t>Q092</t>
        </is>
      </c>
      <c r="B93" s="22" t="inlineStr">
        <is>
          <t>Out-of-scope</t>
        </is>
      </c>
      <c r="C93" s="11" t="inlineStr">
        <is>
          <t>False premise</t>
        </is>
      </c>
      <c r="D93" s="11" t="inlineStr">
        <is>
          <t>Corpus meta</t>
        </is>
      </c>
      <c r="E93" s="10" t="inlineStr">
        <is>
          <t>According to the corpus, what did Guido van Rossum say about Python 4's release date?</t>
        </is>
      </c>
      <c r="F93" s="10" t="inlineStr">
        <is>
          <t>Guido IS covered; Python 4 claim absent.</t>
        </is>
      </c>
      <c r="G93" s="16" t="inlineStr">
        <is>
          <t>Verified absent</t>
        </is>
      </c>
      <c r="H93" s="10" t="inlineStr">
        <is>
          <t>'guido': PY p.41,42,74 (3 pgs) | 'python 4': DS p.9 (1 pgs)</t>
        </is>
      </c>
      <c r="I93" s="16" t="inlineStr">
        <is>
          <t>Out-of-scope</t>
        </is>
      </c>
      <c r="J93" s="16" t="inlineStr">
        <is>
          <t>Out-of-scope</t>
        </is>
      </c>
      <c r="K93" s="11">
        <f>IF(AND(I93&lt;&gt;"",J93&lt;&gt;""),IF(I93=J93,"Agree","DISAGREE"),"")</f>
        <v/>
      </c>
      <c r="L93" s="16" t="inlineStr">
        <is>
          <t>Out-of-scope</t>
        </is>
      </c>
      <c r="M93" s="10" t="inlineStr">
        <is>
          <t>Adjudicated by Claude 21-Jul-2026 (human spot-check advised): Guido IS covered (history + quotes exercise); nothing about Python 4. Extra-good adversarial case.</t>
        </is>
      </c>
    </row>
    <row r="94" ht="27.75" customHeight="1" s="23">
      <c r="A94" s="11" t="inlineStr">
        <is>
          <t>Q093</t>
        </is>
      </c>
      <c r="B94" s="22" t="inlineStr">
        <is>
          <t>Out-of-scope</t>
        </is>
      </c>
      <c r="C94" s="11" t="inlineStr">
        <is>
          <t>False premise</t>
        </is>
      </c>
      <c r="D94" s="11" t="inlineStr">
        <is>
          <t>Corpus meta</t>
        </is>
      </c>
      <c r="E94" s="10" t="inlineStr">
        <is>
          <t>What example does the textbook give for Python's built-in 'teleport' module?</t>
        </is>
      </c>
      <c r="F94" s="10" t="inlineStr">
        <is>
          <t>No such module.</t>
        </is>
      </c>
      <c r="G94" s="16" t="inlineStr">
        <is>
          <t>Verified absent</t>
        </is>
      </c>
      <c r="H94" s="10" t="inlineStr">
        <is>
          <t>no hits</t>
        </is>
      </c>
      <c r="I94" s="16" t="inlineStr">
        <is>
          <t>Out-of-scope</t>
        </is>
      </c>
      <c r="J94" s="16" t="inlineStr">
        <is>
          <t>Out-of-scope</t>
        </is>
      </c>
      <c r="K94" s="11">
        <f>IF(AND(I94&lt;&gt;"",J94&lt;&gt;""),IF(I94=J94,"Agree","DISAGREE"),"")</f>
        <v/>
      </c>
      <c r="L94" s="16" t="inlineStr">
        <is>
          <t>Out-of-scope</t>
        </is>
      </c>
      <c r="M94" s="10" t="inlineStr">
        <is>
          <t>Machine-verified absent (lexical, normalized, 4 books)</t>
        </is>
      </c>
    </row>
    <row r="95" ht="27.75" customHeight="1" s="23">
      <c r="A95" s="11" t="inlineStr">
        <is>
          <t>Q094</t>
        </is>
      </c>
      <c r="B95" s="22" t="inlineStr">
        <is>
          <t>Out-of-scope</t>
        </is>
      </c>
      <c r="C95" s="11" t="inlineStr">
        <is>
          <t>False premise</t>
        </is>
      </c>
      <c r="D95" s="11" t="inlineStr">
        <is>
          <t>Corpus meta</t>
        </is>
      </c>
      <c r="E95" s="10" t="inlineStr">
        <is>
          <t>Summarise the section of the corpus that compares Python to COBOL.</t>
        </is>
      </c>
      <c r="F95" s="10" t="inlineStr">
        <is>
          <t>No such section.</t>
        </is>
      </c>
      <c r="G95" s="16" t="inlineStr">
        <is>
          <t>Verified absent</t>
        </is>
      </c>
      <c r="H95" s="10" t="inlineStr">
        <is>
          <t>no hits</t>
        </is>
      </c>
      <c r="I95" s="16" t="inlineStr">
        <is>
          <t>Out-of-scope</t>
        </is>
      </c>
      <c r="J95" s="16" t="inlineStr">
        <is>
          <t>Out-of-scope</t>
        </is>
      </c>
      <c r="K95" s="11">
        <f>IF(AND(I95&lt;&gt;"",J95&lt;&gt;""),IF(I95=J95,"Agree","DISAGREE"),"")</f>
        <v/>
      </c>
      <c r="L95" s="16" t="inlineStr">
        <is>
          <t>Out-of-scope</t>
        </is>
      </c>
      <c r="M95" s="10" t="inlineStr">
        <is>
          <t>Machine-verified absent (lexical, normalized, 4 books)</t>
        </is>
      </c>
    </row>
    <row r="96" ht="69.75" customHeight="1" s="23">
      <c r="A96" s="11" t="inlineStr">
        <is>
          <t>Q095</t>
        </is>
      </c>
      <c r="B96" s="22" t="inlineStr">
        <is>
          <t>Out-of-scope</t>
        </is>
      </c>
      <c r="C96" s="11" t="inlineStr">
        <is>
          <t>False premise</t>
        </is>
      </c>
      <c r="D96" s="11" t="inlineStr">
        <is>
          <t>Corpus meta</t>
        </is>
      </c>
      <c r="E96" s="10" t="inlineStr">
        <is>
          <t>Which page discusses the deprecation of the print statement in Python 5?</t>
        </is>
      </c>
      <c r="F96" s="10" t="inlineStr">
        <is>
          <t>Python 5 does not exist.</t>
        </is>
      </c>
      <c r="G96" s="16" t="inlineStr">
        <is>
          <t>Verified absent</t>
        </is>
      </c>
      <c r="H96" s="10" t="inlineStr">
        <is>
          <t>no hits</t>
        </is>
      </c>
      <c r="I96" s="16" t="inlineStr">
        <is>
          <t>Out-of-scope</t>
        </is>
      </c>
      <c r="J96" s="16" t="inlineStr">
        <is>
          <t>Out-of-scope</t>
        </is>
      </c>
      <c r="K96" s="11">
        <f>IF(AND(I96&lt;&gt;"",J96&lt;&gt;""),IF(I96=J96,"Agree","DISAGREE"),"")</f>
        <v/>
      </c>
      <c r="L96" s="16" t="inlineStr">
        <is>
          <t>Out-of-scope</t>
        </is>
      </c>
      <c r="M96" s="10" t="inlineStr">
        <is>
          <t>Adjudicated by Claude 21-Jul-2026 (human spot-check advised): Re-adjudicated: 'python 5' hit in DS is a TOC page-number artifact ('...using python 538'). Premise still false.</t>
        </is>
      </c>
    </row>
    <row r="97" ht="27.75" customHeight="1" s="23">
      <c r="A97" s="11" t="inlineStr">
        <is>
          <t>Q096</t>
        </is>
      </c>
      <c r="B97" s="22" t="inlineStr">
        <is>
          <t>Out-of-scope</t>
        </is>
      </c>
      <c r="C97" s="11" t="inlineStr">
        <is>
          <t>Adversarial phrasing</t>
        </is>
      </c>
      <c r="D97" s="11" t="inlineStr">
        <is>
          <t>Linked lists</t>
        </is>
      </c>
      <c r="E97" s="10" t="inlineStr">
        <is>
          <t>Using the textbook's definition of a linked list, explain how Linux kernel developers implement lock-free linked lists.</t>
        </is>
      </c>
      <c r="F97" s="10" t="inlineStr">
        <is>
          <t>Corpus vocabulary; answer absent.</t>
        </is>
      </c>
      <c r="G97" s="16" t="inlineStr">
        <is>
          <t>Verified absent</t>
        </is>
      </c>
      <c r="H97" s="10" t="inlineStr">
        <is>
          <t>no hits</t>
        </is>
      </c>
      <c r="I97" s="16" t="inlineStr">
        <is>
          <t>Tangential</t>
        </is>
      </c>
      <c r="J97" s="16" t="inlineStr">
        <is>
          <t>Tangential</t>
        </is>
      </c>
      <c r="K97" s="11">
        <f>IF(AND(I97&lt;&gt;"",J97&lt;&gt;""),IF(I97=J97,"Agree","DISAGREE"),"")</f>
        <v/>
      </c>
      <c r="L97" s="16" t="inlineStr">
        <is>
          <t>Tangential</t>
        </is>
      </c>
      <c r="M97" s="10" t="inlineStr">
        <is>
          <t>Machine-verified absent (lexical, normalized, 4 books)</t>
        </is>
      </c>
    </row>
    <row r="98" ht="55.5" customHeight="1" s="23">
      <c r="A98" s="11" t="inlineStr">
        <is>
          <t>Q097</t>
        </is>
      </c>
      <c r="B98" s="22" t="inlineStr">
        <is>
          <t>Out-of-scope</t>
        </is>
      </c>
      <c r="C98" s="11" t="inlineStr">
        <is>
          <t>Adversarial phrasing</t>
        </is>
      </c>
      <c r="D98" s="11" t="inlineStr">
        <is>
          <t>OOP</t>
        </is>
      </c>
      <c r="E98" s="10" t="inlineStr">
        <is>
          <t>Based on the object-oriented programming chapter, what design patterns does the Unreal Engine source code use?</t>
        </is>
      </c>
      <c r="F98" s="10" t="inlineStr">
        <is>
          <t>OOP vocabulary; unanswerable.</t>
        </is>
      </c>
      <c r="G98" s="16" t="inlineStr">
        <is>
          <t>Verified absent</t>
        </is>
      </c>
      <c r="H98" s="10" t="inlineStr">
        <is>
          <t>'unreal': SE p.42 (1 pgs) | 'design pattern': SE p.101,114 (2 pgs)</t>
        </is>
      </c>
      <c r="I98" s="16" t="inlineStr">
        <is>
          <t>Out-of-scope</t>
        </is>
      </c>
      <c r="J98" s="16" t="inlineStr">
        <is>
          <t>Tangential</t>
        </is>
      </c>
      <c r="K98" s="11">
        <f>IF(AND(I98&lt;&gt;"",J98&lt;&gt;""),IF(I98=J98,"Agree","DISAGREE"),"")</f>
        <v/>
      </c>
      <c r="L98" s="16" t="inlineStr">
        <is>
          <t>Out-of-scope</t>
        </is>
      </c>
      <c r="M98" s="10" t="inlineStr">
        <is>
          <t>Adjudicated by Claude 21-Jul-2026 (human spot-check advised): Re-adjudicated: 'unreal' hit in SE is the word 'unrealistic'. Still absent. || ADJUDICATED (LLM-applied rules, pending author ratification): Rule 2 — Premise targets external artifact (Unreal Engine source) → OOS despite OOP vocabulary.</t>
        </is>
      </c>
    </row>
    <row r="99" ht="55.5" customHeight="1" s="23">
      <c r="A99" s="11" t="inlineStr">
        <is>
          <t>Q098</t>
        </is>
      </c>
      <c r="B99" s="22" t="inlineStr">
        <is>
          <t>Out-of-scope</t>
        </is>
      </c>
      <c r="C99" s="11" t="inlineStr">
        <is>
          <t>Adversarial phrasing</t>
        </is>
      </c>
      <c r="D99" s="11" t="inlineStr">
        <is>
          <t>Binary search</t>
        </is>
      </c>
      <c r="E99" s="10" t="inlineStr">
        <is>
          <t>Given the corpus's coverage of binary search, what is the exact implementation of Java's Arrays.binarySearch?</t>
        </is>
      </c>
      <c r="F99" s="10" t="inlineStr">
        <is>
          <t>Search vocabulary; external code.</t>
        </is>
      </c>
      <c r="G99" s="16" t="inlineStr">
        <is>
          <t>Verified absent</t>
        </is>
      </c>
      <c r="H99" s="10" t="inlineStr">
        <is>
          <t>'java': PY p.19,20,41… (13 pgs); DS p.31,34,39… (6 pgs); ODS p.35,49,50… (11 pgs); SE p.60,66,73… (5 pgs)</t>
        </is>
      </c>
      <c r="I99" s="16" t="inlineStr">
        <is>
          <t>Out-of-scope</t>
        </is>
      </c>
      <c r="J99" s="16" t="inlineStr">
        <is>
          <t>Tangential</t>
        </is>
      </c>
      <c r="K99" s="11">
        <f>IF(AND(I99&lt;&gt;"",J99&lt;&gt;""),IF(I99=J99,"Agree","DISAGREE"),"")</f>
        <v/>
      </c>
      <c r="L99" s="16" t="inlineStr">
        <is>
          <t>Out-of-scope</t>
        </is>
      </c>
      <c r="M99" s="10" t="inlineStr">
        <is>
          <t>Adjudicated by Claude 21-Jul-2026 (human spot-check advised): Java appears only in hello-world comparison; Arrays.binarySearch absent. || ADJUDICATED (LLM-applied rules, pending author ratification): Rule 2 — Premise targets external artifact (Java stdlib implementation) → OOS.</t>
        </is>
      </c>
    </row>
    <row r="100" ht="42" customHeight="1" s="23">
      <c r="A100" s="11" t="inlineStr">
        <is>
          <t>Q099</t>
        </is>
      </c>
      <c r="B100" s="22" t="inlineStr">
        <is>
          <t>Out-of-scope</t>
        </is>
      </c>
      <c r="C100" s="11" t="inlineStr">
        <is>
          <t>Adversarial phrasing</t>
        </is>
      </c>
      <c r="D100" s="11" t="inlineStr">
        <is>
          <t>Data cleaning</t>
        </is>
      </c>
      <c r="E100" s="10" t="inlineStr">
        <is>
          <t>Applying the data-cleaning workflow from the textbook, how should MRI scans be preprocessed for a radiology pipeline?</t>
        </is>
      </c>
      <c r="F100" s="10" t="inlineStr">
        <is>
          <t>Workflow vocabulary; medical absent.</t>
        </is>
      </c>
      <c r="G100" s="16" t="inlineStr">
        <is>
          <t>Verified absent</t>
        </is>
      </c>
      <c r="H100" s="10" t="inlineStr">
        <is>
          <t>no hits</t>
        </is>
      </c>
      <c r="I100" s="16" t="inlineStr">
        <is>
          <t>Out-of-scope</t>
        </is>
      </c>
      <c r="J100" s="16" t="inlineStr">
        <is>
          <t>Tangential</t>
        </is>
      </c>
      <c r="K100" s="11">
        <f>IF(AND(I100&lt;&gt;"",J100&lt;&gt;""),IF(I100=J100,"Agree","DISAGREE"),"")</f>
        <v/>
      </c>
      <c r="L100" s="16" t="inlineStr">
        <is>
          <t>Out-of-scope</t>
        </is>
      </c>
      <c r="M100" s="10" t="inlineStr">
        <is>
          <t>Machine-verified absent (lexical, normalized, 4 books) || ADJUDICATED (LLM-applied rules, pending author ratification): Rule 2 — Premise targets external domain (MRI/radiology) → OOS despite workflow vocabulary.</t>
        </is>
      </c>
    </row>
    <row r="101" ht="55.5" customHeight="1" s="23">
      <c r="A101" s="11" t="inlineStr">
        <is>
          <t>Q100</t>
        </is>
      </c>
      <c r="B101" s="22" t="inlineStr">
        <is>
          <t>Out-of-scope</t>
        </is>
      </c>
      <c r="C101" s="11" t="inlineStr">
        <is>
          <t>Adversarial phrasing</t>
        </is>
      </c>
      <c r="D101" s="11" t="inlineStr">
        <is>
          <t>ML basics</t>
        </is>
      </c>
      <c r="E101" s="10" t="inlineStr">
        <is>
          <t>Using the machine learning basics chapter, explain GPT-4's mixture-of-experts architecture.</t>
        </is>
      </c>
      <c r="F101" s="10" t="inlineStr">
        <is>
          <t>GPT-4 name-dropped; MoE absent.</t>
        </is>
      </c>
      <c r="G101" s="16" t="inlineStr">
        <is>
          <t>Verified absent</t>
        </is>
      </c>
      <c r="H101" s="10" t="inlineStr">
        <is>
          <t>'gpt-4': DS p.376 (1 pgs)</t>
        </is>
      </c>
      <c r="I101" s="16" t="inlineStr">
        <is>
          <t>Out-of-scope</t>
        </is>
      </c>
      <c r="J101" s="16" t="inlineStr">
        <is>
          <t>Tangential</t>
        </is>
      </c>
      <c r="K101" s="11">
        <f>IF(AND(I101&lt;&gt;"",J101&lt;&gt;""),IF(I101=J101,"Agree","DISAGREE"),"")</f>
        <v/>
      </c>
      <c r="L101" s="16" t="inlineStr">
        <is>
          <t>Out-of-scope</t>
        </is>
      </c>
      <c r="M101" s="10" t="inlineStr">
        <is>
          <t>Adjudicated by Claude 21-Jul-2026 (human spot-check advised): GPT-4 name-dropped in NLP history (Table 7.3); mixture-of-experts absent. || ADJUDICATED (LLM-applied rules, pending author ratification): Rule 2 — Premise targets external artifact (GPT-4 architecture) → OOS.</t>
        </is>
      </c>
    </row>
    <row r="102" ht="42" customHeight="1" s="23">
      <c r="A102" s="11" t="inlineStr">
        <is>
          <t>Q101</t>
        </is>
      </c>
      <c r="B102" s="14" t="inlineStr">
        <is>
          <t>In-scope direct</t>
        </is>
      </c>
      <c r="C102" s="11" t="inlineStr">
        <is>
          <t>Single chunk</t>
        </is>
      </c>
      <c r="D102" s="11" t="inlineStr">
        <is>
          <t>Data structures (ODS)</t>
        </is>
      </c>
      <c r="E102" s="10" t="inlineStr">
        <is>
          <t>What is a linked list, and how does it differ from an array-based list?</t>
        </is>
      </c>
      <c r="F102" s="10" t="inlineStr">
        <is>
          <t>ODS linked-list chapters.</t>
        </is>
      </c>
      <c r="G102" s="16" t="inlineStr">
        <is>
          <t>Verified in corpus</t>
        </is>
      </c>
      <c r="H102" s="10" t="inlineStr">
        <is>
          <t>'linked list': ODS p.4,14,37… (42 pgs)</t>
        </is>
      </c>
      <c r="I102" s="16" t="inlineStr">
        <is>
          <t>In-scope</t>
        </is>
      </c>
      <c r="J102" s="16" t="inlineStr">
        <is>
          <t>In-scope</t>
        </is>
      </c>
      <c r="K102" s="11">
        <f>IF(AND(I102&lt;&gt;"",J102&lt;&gt;""),IF(I102=J102,"Agree","DISAGREE"),"")</f>
        <v/>
      </c>
      <c r="L102" s="16" t="inlineStr">
        <is>
          <t>In-scope</t>
        </is>
      </c>
      <c r="M102" s="10" t="inlineStr">
        <is>
          <t>Verified by Claude 21-Jul-2026 (read cited pages; human spot-check advised): ODS ch.3 + p.14 array vs linked list.</t>
        </is>
      </c>
    </row>
    <row r="103" ht="42" customHeight="1" s="23">
      <c r="A103" s="11" t="inlineStr">
        <is>
          <t>Q102</t>
        </is>
      </c>
      <c r="B103" s="14" t="inlineStr">
        <is>
          <t>In-scope direct</t>
        </is>
      </c>
      <c r="C103" s="11" t="inlineStr">
        <is>
          <t>Single chunk</t>
        </is>
      </c>
      <c r="D103" s="11" t="inlineStr">
        <is>
          <t>Data structures (ODS)</t>
        </is>
      </c>
      <c r="E103" s="10" t="inlineStr">
        <is>
          <t>What property defines a binary search tree?</t>
        </is>
      </c>
      <c r="F103" s="10" t="inlineStr">
        <is>
          <t>ODS BST chapter.</t>
        </is>
      </c>
      <c r="G103" s="16" t="inlineStr">
        <is>
          <t>Verified in corpus</t>
        </is>
      </c>
      <c r="H103" s="10" t="inlineStr">
        <is>
          <t>'binary search tree': ODS p.5,6,37… (54 pgs)</t>
        </is>
      </c>
      <c r="I103" s="16" t="inlineStr">
        <is>
          <t>In-scope</t>
        </is>
      </c>
      <c r="J103" s="16" t="inlineStr">
        <is>
          <t>In-scope</t>
        </is>
      </c>
      <c r="K103" s="11">
        <f>IF(AND(I103&lt;&gt;"",J103&lt;&gt;""),IF(I103=J103,"Agree","DISAGREE"),"")</f>
        <v/>
      </c>
      <c r="L103" s="16" t="inlineStr">
        <is>
          <t>In-scope</t>
        </is>
      </c>
      <c r="M103" s="10" t="inlineStr">
        <is>
          <t>Verified by Claude 21-Jul-2026 (read cited pages; human spot-check advised): ODS §6.2 BinarySearchTree.</t>
        </is>
      </c>
    </row>
    <row r="104" ht="42" customHeight="1" s="23">
      <c r="A104" s="11" t="inlineStr">
        <is>
          <t>Q103</t>
        </is>
      </c>
      <c r="B104" s="14" t="inlineStr">
        <is>
          <t>In-scope direct</t>
        </is>
      </c>
      <c r="C104" s="11" t="inlineStr">
        <is>
          <t>Single chunk</t>
        </is>
      </c>
      <c r="D104" s="11" t="inlineStr">
        <is>
          <t>Algorithms (ODS)</t>
        </is>
      </c>
      <c r="E104" s="10" t="inlineStr">
        <is>
          <t>What does Big-O notation express about an algorithm's running time?</t>
        </is>
      </c>
      <c r="F104" s="10" t="inlineStr">
        <is>
          <t>ODS asymptotic notation section.</t>
        </is>
      </c>
      <c r="G104" s="16" t="inlineStr">
        <is>
          <t>Verified in corpus</t>
        </is>
      </c>
      <c r="H104" s="10" t="inlineStr">
        <is>
          <t>'big-o': ODS p.16,21,24… (7 pgs) | 'o(n)': ODS p.25,26,27… (36 pgs)</t>
        </is>
      </c>
      <c r="I104" s="16" t="inlineStr">
        <is>
          <t>In-scope</t>
        </is>
      </c>
      <c r="J104" s="16" t="inlineStr">
        <is>
          <t>In-scope</t>
        </is>
      </c>
      <c r="K104" s="11">
        <f>IF(AND(I104&lt;&gt;"",J104&lt;&gt;""),IF(I104=J104,"Agree","DISAGREE"),"")</f>
        <v/>
      </c>
      <c r="L104" s="16" t="inlineStr">
        <is>
          <t>In-scope</t>
        </is>
      </c>
      <c r="M104" s="10" t="inlineStr">
        <is>
          <t>Verified by Claude 21-Jul-2026 (read cited pages; human spot-check advised): ODS §1.3.3 big-oh notation p.21,25.</t>
        </is>
      </c>
    </row>
    <row r="105" ht="42" customHeight="1" s="23">
      <c r="A105" s="11" t="inlineStr">
        <is>
          <t>Q104</t>
        </is>
      </c>
      <c r="B105" s="14" t="inlineStr">
        <is>
          <t>In-scope direct</t>
        </is>
      </c>
      <c r="C105" s="11" t="inlineStr">
        <is>
          <t>Single chunk</t>
        </is>
      </c>
      <c r="D105" s="11" t="inlineStr">
        <is>
          <t>Algorithms (ODS)</t>
        </is>
      </c>
      <c r="E105" s="10" t="inlineStr">
        <is>
          <t>How does merge sort work and what is its time complexity?</t>
        </is>
      </c>
      <c r="F105" s="10" t="inlineStr">
        <is>
          <t>ODS sorting chapter.</t>
        </is>
      </c>
      <c r="G105" s="16" t="inlineStr">
        <is>
          <t>Verified in corpus</t>
        </is>
      </c>
      <c r="H105" s="10" t="inlineStr">
        <is>
          <t>'merge sort': ODS p.92,230,231… (4 pgs)</t>
        </is>
      </c>
      <c r="I105" s="16" t="inlineStr">
        <is>
          <t>In-scope</t>
        </is>
      </c>
      <c r="J105" s="16" t="inlineStr">
        <is>
          <t>In-scope</t>
        </is>
      </c>
      <c r="K105" s="11">
        <f>IF(AND(I105&lt;&gt;"",J105&lt;&gt;""),IF(I105=J105,"Agree","DISAGREE"),"")</f>
        <v/>
      </c>
      <c r="L105" s="16" t="inlineStr">
        <is>
          <t>In-scope</t>
        </is>
      </c>
      <c r="M105" s="10" t="inlineStr">
        <is>
          <t>Verified by Claude 21-Jul-2026 (read cited pages; human spot-check advised): ODS §11.1.1 merge-sort p.230.</t>
        </is>
      </c>
    </row>
    <row r="106" ht="42" customHeight="1" s="23">
      <c r="A106" s="11" t="inlineStr">
        <is>
          <t>Q105</t>
        </is>
      </c>
      <c r="B106" s="14" t="inlineStr">
        <is>
          <t>In-scope direct</t>
        </is>
      </c>
      <c r="C106" s="11" t="inlineStr">
        <is>
          <t>Single chunk</t>
        </is>
      </c>
      <c r="D106" s="11" t="inlineStr">
        <is>
          <t>Algorithms (ODS)</t>
        </is>
      </c>
      <c r="E106" s="10" t="inlineStr">
        <is>
          <t>How does quicksort partition its input, and what is its expected complexity?</t>
        </is>
      </c>
      <c r="F106" s="10" t="inlineStr">
        <is>
          <t>ODS sorting chapter.</t>
        </is>
      </c>
      <c r="G106" s="16" t="inlineStr">
        <is>
          <t>Verified in corpus</t>
        </is>
      </c>
      <c r="H106" s="10" t="inlineStr">
        <is>
          <t>'quicksort': ODS p.6,37,229… (14 pgs)</t>
        </is>
      </c>
      <c r="I106" s="16" t="inlineStr">
        <is>
          <t>In-scope</t>
        </is>
      </c>
      <c r="J106" s="16" t="inlineStr">
        <is>
          <t>In-scope</t>
        </is>
      </c>
      <c r="K106" s="11">
        <f>IF(AND(I106&lt;&gt;"",J106&lt;&gt;""),IF(I106=J106,"Agree","DISAGREE"),"")</f>
        <v/>
      </c>
      <c r="L106" s="16" t="inlineStr">
        <is>
          <t>In-scope</t>
        </is>
      </c>
      <c r="M106" s="10" t="inlineStr">
        <is>
          <t>Verified by Claude 21-Jul-2026 (read cited pages; human spot-check advised): ODS §11.1.2 quicksort; partition p.235.</t>
        </is>
      </c>
    </row>
    <row r="107" ht="55.5" customHeight="1" s="23">
      <c r="A107" s="11" t="inlineStr">
        <is>
          <t>Q106</t>
        </is>
      </c>
      <c r="B107" s="14" t="inlineStr">
        <is>
          <t>In-scope direct</t>
        </is>
      </c>
      <c r="C107" s="11" t="inlineStr">
        <is>
          <t>Single chunk</t>
        </is>
      </c>
      <c r="D107" s="11" t="inlineStr">
        <is>
          <t>Data structures (ODS)</t>
        </is>
      </c>
      <c r="E107" s="10" t="inlineStr">
        <is>
          <t>What is a priority queue, and how does a binary heap implement one?</t>
        </is>
      </c>
      <c r="F107" s="10" t="inlineStr">
        <is>
          <t>ODS heaps chapter.</t>
        </is>
      </c>
      <c r="G107" s="16" t="inlineStr">
        <is>
          <t>Verified in corpus</t>
        </is>
      </c>
      <c r="H107" s="10" t="inlineStr">
        <is>
          <t>'priority queue': ODS p.17,18,38… (11 pgs) | 'heap': PY p.90 (1 pgs); DS p.74 (1 pgs); ODS p.6,37,38… (39 pgs)</t>
        </is>
      </c>
      <c r="I107" s="16" t="inlineStr">
        <is>
          <t>In-scope</t>
        </is>
      </c>
      <c r="J107" s="16" t="inlineStr">
        <is>
          <t>In-scope</t>
        </is>
      </c>
      <c r="K107" s="11">
        <f>IF(AND(I107&lt;&gt;"",J107&lt;&gt;""),IF(I107=J107,"Agree","DISAGREE"),"")</f>
        <v/>
      </c>
      <c r="L107" s="16" t="inlineStr">
        <is>
          <t>In-scope</t>
        </is>
      </c>
      <c r="M107" s="10" t="inlineStr">
        <is>
          <t>Verified by Claude 21-Jul-2026 (read cited pages; human spot-check advised): ODS §1.2 priority queue p.17 + ch.10 BinaryHeap.</t>
        </is>
      </c>
    </row>
    <row r="108" ht="42" customHeight="1" s="23">
      <c r="A108" s="11" t="inlineStr">
        <is>
          <t>Q107</t>
        </is>
      </c>
      <c r="B108" s="14" t="inlineStr">
        <is>
          <t>In-scope direct</t>
        </is>
      </c>
      <c r="C108" s="11" t="inlineStr">
        <is>
          <t>Single chunk</t>
        </is>
      </c>
      <c r="D108" s="11" t="inlineStr">
        <is>
          <t>Algorithms (ODS)</t>
        </is>
      </c>
      <c r="E108" s="10" t="inlineStr">
        <is>
          <t>How do depth-first and breadth-first graph traversal differ?</t>
        </is>
      </c>
      <c r="F108" s="10" t="inlineStr">
        <is>
          <t>ODS graphs chapter.</t>
        </is>
      </c>
      <c r="G108" s="16" t="inlineStr">
        <is>
          <t>Verified in corpus</t>
        </is>
      </c>
      <c r="H108" s="10" t="inlineStr">
        <is>
          <t>'depth-first': ODS p.7,262,263… (6 pgs) | 'breadth-first': ODS p.7,144,145… (11 pgs)</t>
        </is>
      </c>
      <c r="I108" s="16" t="inlineStr">
        <is>
          <t>In-scope</t>
        </is>
      </c>
      <c r="J108" s="16" t="inlineStr">
        <is>
          <t>In-scope</t>
        </is>
      </c>
      <c r="K108" s="11">
        <f>IF(AND(I108&lt;&gt;"",J108&lt;&gt;""),IF(I108=J108,"Agree","DISAGREE"),"")</f>
        <v/>
      </c>
      <c r="L108" s="16" t="inlineStr">
        <is>
          <t>In-scope</t>
        </is>
      </c>
      <c r="M108" s="10" t="inlineStr">
        <is>
          <t>Verified by Claude 21-Jul-2026 (read cited pages; human spot-check advised): ODS §12.3 BFS/DFS p.262.</t>
        </is>
      </c>
    </row>
    <row r="109" ht="42" customHeight="1" s="23">
      <c r="A109" s="11" t="inlineStr">
        <is>
          <t>Q108</t>
        </is>
      </c>
      <c r="B109" s="14" t="inlineStr">
        <is>
          <t>In-scope direct</t>
        </is>
      </c>
      <c r="C109" s="11" t="inlineStr">
        <is>
          <t>Single chunk</t>
        </is>
      </c>
      <c r="D109" s="11" t="inlineStr">
        <is>
          <t>Data structures (ODS)</t>
        </is>
      </c>
      <c r="E109" s="10" t="inlineStr">
        <is>
          <t>How does an adjacency list represent a graph, and when is it preferable to an adjacency matrix?</t>
        </is>
      </c>
      <c r="F109" s="10" t="inlineStr">
        <is>
          <t>ODS graph representations.</t>
        </is>
      </c>
      <c r="G109" s="16" t="inlineStr">
        <is>
          <t>Verified in corpus</t>
        </is>
      </c>
      <c r="H109" s="10" t="inlineStr">
        <is>
          <t>'adjacency list': ODS p.256,257,258… (9 pgs)</t>
        </is>
      </c>
      <c r="I109" s="16" t="inlineStr">
        <is>
          <t>In-scope</t>
        </is>
      </c>
      <c r="J109" s="16" t="inlineStr">
        <is>
          <t>In-scope</t>
        </is>
      </c>
      <c r="K109" s="11">
        <f>IF(AND(I109&lt;&gt;"",J109&lt;&gt;""),IF(I109=J109,"Agree","DISAGREE"),"")</f>
        <v/>
      </c>
      <c r="L109" s="16" t="inlineStr">
        <is>
          <t>In-scope</t>
        </is>
      </c>
      <c r="M109" s="10" t="inlineStr">
        <is>
          <t>Verified by Claude 21-Jul-2026 (read cited pages; human spot-check advised): ODS §12.2 adjacency lists p.256–257.</t>
        </is>
      </c>
    </row>
    <row r="110" ht="42" customHeight="1" s="23">
      <c r="A110" s="11" t="inlineStr">
        <is>
          <t>Q109</t>
        </is>
      </c>
      <c r="B110" s="14" t="inlineStr">
        <is>
          <t>In-scope direct</t>
        </is>
      </c>
      <c r="C110" s="11" t="inlineStr">
        <is>
          <t>Single chunk</t>
        </is>
      </c>
      <c r="D110" s="11" t="inlineStr">
        <is>
          <t>Data structures (ODS)</t>
        </is>
      </c>
      <c r="E110" s="10" t="inlineStr">
        <is>
          <t>What is a skiplist and how does it achieve fast search?</t>
        </is>
      </c>
      <c r="F110" s="10" t="inlineStr">
        <is>
          <t>ODS skiplists chapter.</t>
        </is>
      </c>
      <c r="G110" s="16" t="inlineStr">
        <is>
          <t>Verified in corpus</t>
        </is>
      </c>
      <c r="H110" s="10" t="inlineStr">
        <is>
          <t>'skiplist': ODS p.4,5,36… (33 pgs)</t>
        </is>
      </c>
      <c r="I110" s="16" t="inlineStr">
        <is>
          <t>In-scope</t>
        </is>
      </c>
      <c r="J110" s="16" t="inlineStr">
        <is>
          <t>In-scope</t>
        </is>
      </c>
      <c r="K110" s="11">
        <f>IF(AND(I110&lt;&gt;"",J110&lt;&gt;""),IF(I110=J110,"Agree","DISAGREE"),"")</f>
        <v/>
      </c>
      <c r="L110" s="16" t="inlineStr">
        <is>
          <t>In-scope</t>
        </is>
      </c>
      <c r="M110" s="10" t="inlineStr">
        <is>
          <t>Verified by Claude 21-Jul-2026 (read cited pages; human spot-check advised): ODS ch.4 skiplists.</t>
        </is>
      </c>
    </row>
    <row r="111" ht="42" customHeight="1" s="23">
      <c r="A111" s="11" t="inlineStr">
        <is>
          <t>Q110</t>
        </is>
      </c>
      <c r="B111" s="14" t="inlineStr">
        <is>
          <t>In-scope direct</t>
        </is>
      </c>
      <c r="C111" s="11" t="inlineStr">
        <is>
          <t>Single chunk</t>
        </is>
      </c>
      <c r="D111" s="11" t="inlineStr">
        <is>
          <t>Data structures (ODS)</t>
        </is>
      </c>
      <c r="E111" s="10" t="inlineStr">
        <is>
          <t>What is a treap and how does it combine tree and heap properties?</t>
        </is>
      </c>
      <c r="F111" s="10" t="inlineStr">
        <is>
          <t>ODS treaps section.</t>
        </is>
      </c>
      <c r="G111" s="16" t="inlineStr">
        <is>
          <t>Verified in corpus</t>
        </is>
      </c>
      <c r="H111" s="10" t="inlineStr">
        <is>
          <t>'treap': ODS p.5,38,163… (27 pgs)</t>
        </is>
      </c>
      <c r="I111" s="16" t="inlineStr">
        <is>
          <t>In-scope</t>
        </is>
      </c>
      <c r="J111" s="16" t="inlineStr">
        <is>
          <t>In-scope</t>
        </is>
      </c>
      <c r="K111" s="11">
        <f>IF(AND(I111&lt;&gt;"",J111&lt;&gt;""),IF(I111=J111,"Agree","DISAGREE"),"")</f>
        <v/>
      </c>
      <c r="L111" s="16" t="inlineStr">
        <is>
          <t>In-scope</t>
        </is>
      </c>
      <c r="M111" s="10" t="inlineStr">
        <is>
          <t>Verified by Claude 21-Jul-2026 (read cited pages; human spot-check advised): ODS §7.2 Treap.</t>
        </is>
      </c>
    </row>
    <row r="112" ht="42" customHeight="1" s="23">
      <c r="A112" s="11" t="inlineStr">
        <is>
          <t>Q111</t>
        </is>
      </c>
      <c r="B112" s="14" t="inlineStr">
        <is>
          <t>In-scope direct</t>
        </is>
      </c>
      <c r="C112" s="11" t="inlineStr">
        <is>
          <t>Single chunk</t>
        </is>
      </c>
      <c r="D112" s="11" t="inlineStr">
        <is>
          <t>Algorithms (ODS)</t>
        </is>
      </c>
      <c r="E112" s="10" t="inlineStr">
        <is>
          <t>What is amortised analysis and why is it used?</t>
        </is>
      </c>
      <c r="F112" s="10" t="inlineStr">
        <is>
          <t>ODS amortized analysis sections.</t>
        </is>
      </c>
      <c r="G112" s="16" t="inlineStr">
        <is>
          <t>Verified in corpus</t>
        </is>
      </c>
      <c r="H112" s="10" t="inlineStr">
        <is>
          <t>'amortized': ODS p.4,7,32… (32 pgs)</t>
        </is>
      </c>
      <c r="I112" s="16" t="inlineStr">
        <is>
          <t>In-scope</t>
        </is>
      </c>
      <c r="J112" s="16" t="inlineStr">
        <is>
          <t>In-scope</t>
        </is>
      </c>
      <c r="K112" s="11">
        <f>IF(AND(I112&lt;&gt;"",J112&lt;&gt;""),IF(I112=J112,"Agree","DISAGREE"),"")</f>
        <v/>
      </c>
      <c r="L112" s="16" t="inlineStr">
        <is>
          <t>In-scope</t>
        </is>
      </c>
      <c r="M112" s="10" t="inlineStr">
        <is>
          <t>Verified by Claude 21-Jul-2026 (read cited pages; human spot-check advised): ODS §3.3.5 + §14.2.4; potential method p.88.</t>
        </is>
      </c>
    </row>
    <row r="113" ht="69.75" customHeight="1" s="23">
      <c r="A113" s="11" t="inlineStr">
        <is>
          <t>Q112</t>
        </is>
      </c>
      <c r="B113" s="14" t="inlineStr">
        <is>
          <t>In-scope direct</t>
        </is>
      </c>
      <c r="C113" s="11" t="inlineStr">
        <is>
          <t>Single chunk</t>
        </is>
      </c>
      <c r="D113" s="11" t="inlineStr">
        <is>
          <t>Data structures (ODS)</t>
        </is>
      </c>
      <c r="E113" s="10" t="inlineStr">
        <is>
          <t>How do hash tables resolve collisions using chaining and linear probing?</t>
        </is>
      </c>
      <c r="F113" s="10" t="inlineStr">
        <is>
          <t>ODS hashing chapter.</t>
        </is>
      </c>
      <c r="G113" s="16" t="inlineStr">
        <is>
          <t>Verified in corpus</t>
        </is>
      </c>
      <c r="H113" s="10" t="inlineStr">
        <is>
          <t>'chaining': PY p.118,395 (2 pgs); ODS p.5,113,115… (8 pgs) | 'linear probing': ODS p.5,113,120… (10 pgs) | 'collision': PY p.187,188,189… (7 pgs); ODS p.116,134,135… (4 pgs)</t>
        </is>
      </c>
      <c r="I113" s="16" t="inlineStr">
        <is>
          <t>In-scope</t>
        </is>
      </c>
      <c r="J113" s="16" t="inlineStr">
        <is>
          <t>In-scope</t>
        </is>
      </c>
      <c r="K113" s="11">
        <f>IF(AND(I113&lt;&gt;"",J113&lt;&gt;""),IF(I113=J113,"Agree","DISAGREE"),"")</f>
        <v/>
      </c>
      <c r="L113" s="16" t="inlineStr">
        <is>
          <t>In-scope</t>
        </is>
      </c>
      <c r="M113" s="10" t="inlineStr">
        <is>
          <t>Verified by Claude 21-Jul-2026 (read cited pages; human spot-check advised): ODS §5.1 chaining + §5.2 linear probing.</t>
        </is>
      </c>
    </row>
    <row r="114" ht="55.5" customHeight="1" s="23">
      <c r="A114" s="11" t="inlineStr">
        <is>
          <t>Q113</t>
        </is>
      </c>
      <c r="B114" s="14" t="inlineStr">
        <is>
          <t>In-scope direct</t>
        </is>
      </c>
      <c r="C114" s="11" t="inlineStr">
        <is>
          <t>Single chunk</t>
        </is>
      </c>
      <c r="D114" s="11" t="inlineStr">
        <is>
          <t>Software eng. (SE)</t>
        </is>
      </c>
      <c r="E114" s="10" t="inlineStr">
        <is>
          <t>What characterises the agile approach to software development?</t>
        </is>
      </c>
      <c r="F114" s="10" t="inlineStr">
        <is>
          <t>SE handbook agile chapters.</t>
        </is>
      </c>
      <c r="G114" s="16" t="inlineStr">
        <is>
          <t>Verified in corpus</t>
        </is>
      </c>
      <c r="H114" s="10" t="inlineStr">
        <is>
          <t>'agile': ODS p.88,89 (2 pgs); SE p.5,10,11… (34 pgs)</t>
        </is>
      </c>
      <c r="I114" s="16" t="inlineStr">
        <is>
          <t>In-scope</t>
        </is>
      </c>
      <c r="J114" s="16" t="inlineStr">
        <is>
          <t>In-scope</t>
        </is>
      </c>
      <c r="K114" s="11">
        <f>IF(AND(I114&lt;&gt;"",J114&lt;&gt;""),IF(I114=J114,"Agree","DISAGREE"),"")</f>
        <v/>
      </c>
      <c r="L114" s="16" t="inlineStr">
        <is>
          <t>In-scope</t>
        </is>
      </c>
      <c r="M114" s="10" t="inlineStr">
        <is>
          <t>Verified by Claude 21-Jul-2026 (read cited pages; human spot-check advised): SE ch.1 Agile. NOTE: ODS 'agile' hits were the word 'fragile'.</t>
        </is>
      </c>
    </row>
    <row r="115" ht="84" customHeight="1" s="23">
      <c r="A115" s="11" t="inlineStr">
        <is>
          <t>Q114</t>
        </is>
      </c>
      <c r="B115" s="14" t="inlineStr">
        <is>
          <t>In-scope direct</t>
        </is>
      </c>
      <c r="C115" s="11" t="inlineStr">
        <is>
          <t>Single chunk</t>
        </is>
      </c>
      <c r="D115" s="11" t="inlineStr">
        <is>
          <t>Software eng. (SE)</t>
        </is>
      </c>
      <c r="E115" s="10" t="inlineStr">
        <is>
          <t>What is Scrum, and what are its main roles and events?</t>
        </is>
      </c>
      <c r="F115" s="10" t="inlineStr">
        <is>
          <t>SE handbook Scrum coverage.</t>
        </is>
      </c>
      <c r="G115" s="16" t="inlineStr">
        <is>
          <t>Verified in corpus</t>
        </is>
      </c>
      <c r="H115" s="10" t="inlineStr">
        <is>
          <t>'scrum': SE p.5,15,16… (15 pgs) | 'sprint': DS p.342,343 (2 pgs); SE p.19,20,30… (8 pgs)</t>
        </is>
      </c>
      <c r="I115" s="16" t="inlineStr">
        <is>
          <t>In-scope</t>
        </is>
      </c>
      <c r="J115" s="16" t="inlineStr">
        <is>
          <t>In-scope</t>
        </is>
      </c>
      <c r="K115" s="11">
        <f>IF(AND(I115&lt;&gt;"",J115&lt;&gt;""),IF(I115=J115,"Agree","DISAGREE"),"")</f>
        <v/>
      </c>
      <c r="L115" s="16" t="inlineStr">
        <is>
          <t>In-scope</t>
        </is>
      </c>
      <c r="M115" s="10" t="inlineStr">
        <is>
          <t>Verified by Claude 21-Jul-2026 (read cited pages; human spot-check advised): SE §1.2: roles (scrum master, product owner, developers) AND events (sprint planning, daily scrum, review, retrospective) all defined.</t>
        </is>
      </c>
    </row>
    <row r="116" ht="42" customHeight="1" s="23">
      <c r="A116" s="11" t="inlineStr">
        <is>
          <t>Q115</t>
        </is>
      </c>
      <c r="B116" s="14" t="inlineStr">
        <is>
          <t>In-scope direct</t>
        </is>
      </c>
      <c r="C116" s="11" t="inlineStr">
        <is>
          <t>Single chunk</t>
        </is>
      </c>
      <c r="D116" s="11" t="inlineStr">
        <is>
          <t>Software eng. (SE)</t>
        </is>
      </c>
      <c r="E116" s="10" t="inlineStr">
        <is>
          <t>How does the waterfall model structure a software project?</t>
        </is>
      </c>
      <c r="F116" s="10" t="inlineStr">
        <is>
          <t>SE handbook process models.</t>
        </is>
      </c>
      <c r="G116" s="16" t="inlineStr">
        <is>
          <t>Verified in corpus</t>
        </is>
      </c>
      <c r="H116" s="10" t="inlineStr">
        <is>
          <t>'waterfall': SE p.15,16,17… (6 pgs)</t>
        </is>
      </c>
      <c r="I116" s="16" t="inlineStr">
        <is>
          <t>In-scope</t>
        </is>
      </c>
      <c r="J116" s="16" t="inlineStr">
        <is>
          <t>In-scope</t>
        </is>
      </c>
      <c r="K116" s="11">
        <f>IF(AND(I116&lt;&gt;"",J116&lt;&gt;""),IF(I116=J116,"Agree","DISAGREE"),"")</f>
        <v/>
      </c>
      <c r="L116" s="16" t="inlineStr">
        <is>
          <t>In-scope</t>
        </is>
      </c>
      <c r="M116" s="10" t="inlineStr">
        <is>
          <t>Verified by Claude 21-Jul-2026 (read cited pages; human spot-check advised): SE §1.1 p.15–16 waterfall vs agile.</t>
        </is>
      </c>
    </row>
    <row r="117" ht="42" customHeight="1" s="23">
      <c r="A117" s="11" t="inlineStr">
        <is>
          <t>Q116</t>
        </is>
      </c>
      <c r="B117" s="14" t="inlineStr">
        <is>
          <t>In-scope direct</t>
        </is>
      </c>
      <c r="C117" s="11" t="inlineStr">
        <is>
          <t>Single chunk</t>
        </is>
      </c>
      <c r="D117" s="11" t="inlineStr">
        <is>
          <t>Software eng. (SE)</t>
        </is>
      </c>
      <c r="E117" s="10" t="inlineStr">
        <is>
          <t>What is requirements elicitation and which techniques does it use?</t>
        </is>
      </c>
      <c r="F117" s="10" t="inlineStr">
        <is>
          <t>SE handbook requirements chapter.</t>
        </is>
      </c>
      <c r="G117" s="16" t="inlineStr">
        <is>
          <t>Verified in corpus</t>
        </is>
      </c>
      <c r="H117" s="10" t="inlineStr">
        <is>
          <t>'requirements elicitation': SE p.6,41,108 (3 pgs)</t>
        </is>
      </c>
      <c r="I117" s="16" t="inlineStr">
        <is>
          <t>In-scope</t>
        </is>
      </c>
      <c r="J117" s="16" t="inlineStr">
        <is>
          <t>In-scope</t>
        </is>
      </c>
      <c r="K117" s="11">
        <f>IF(AND(I117&lt;&gt;"",J117&lt;&gt;""),IF(I117=J117,"Agree","DISAGREE"),"")</f>
        <v/>
      </c>
      <c r="L117" s="16" t="inlineStr">
        <is>
          <t>In-scope</t>
        </is>
      </c>
      <c r="M117" s="10" t="inlineStr">
        <is>
          <t>Verified by Claude 21-Jul-2026 (read cited pages; human spot-check advised): SE §3.4 p.41 explicit definition.</t>
        </is>
      </c>
    </row>
    <row r="118" ht="55.5" customHeight="1" s="23">
      <c r="A118" s="11" t="inlineStr">
        <is>
          <t>Q117</t>
        </is>
      </c>
      <c r="B118" s="14" t="inlineStr">
        <is>
          <t>In-scope direct</t>
        </is>
      </c>
      <c r="C118" s="11" t="inlineStr">
        <is>
          <t>Single chunk</t>
        </is>
      </c>
      <c r="D118" s="11" t="inlineStr">
        <is>
          <t>Software eng. (SE)</t>
        </is>
      </c>
      <c r="E118" s="10" t="inlineStr">
        <is>
          <t>What is a user story and how is one written?</t>
        </is>
      </c>
      <c r="F118" s="10" t="inlineStr">
        <is>
          <t>SE handbook user stories.</t>
        </is>
      </c>
      <c r="G118" s="16" t="inlineStr">
        <is>
          <t>Verified in corpus</t>
        </is>
      </c>
      <c r="H118" s="10" t="inlineStr">
        <is>
          <t>'user stor': SE p.12,21,38… (16 pgs)</t>
        </is>
      </c>
      <c r="I118" s="16" t="inlineStr">
        <is>
          <t>In-scope</t>
        </is>
      </c>
      <c r="J118" s="16" t="inlineStr">
        <is>
          <t>In-scope</t>
        </is>
      </c>
      <c r="K118" s="11">
        <f>IF(AND(I118&lt;&gt;"",J118&lt;&gt;""),IF(I118=J118,"Agree","DISAGREE"),"")</f>
        <v/>
      </c>
      <c r="L118" s="16" t="inlineStr">
        <is>
          <t>In-scope</t>
        </is>
      </c>
      <c r="M118" s="10" t="inlineStr">
        <is>
          <t>Verified by Claude 21-Jul-2026 (read cited pages; human spot-check advised): SE p.21 user story with as-a/I-can/so-that format.</t>
        </is>
      </c>
    </row>
    <row r="119" ht="42" customHeight="1" s="23">
      <c r="A119" s="11" t="inlineStr">
        <is>
          <t>Q118</t>
        </is>
      </c>
      <c r="B119" s="14" t="inlineStr">
        <is>
          <t>In-scope direct</t>
        </is>
      </c>
      <c r="C119" s="11" t="inlineStr">
        <is>
          <t>Single chunk</t>
        </is>
      </c>
      <c r="D119" s="11" t="inlineStr">
        <is>
          <t>Software eng. (SE)</t>
        </is>
      </c>
      <c r="E119" s="10" t="inlineStr">
        <is>
          <t>What is refactoring and when should a team do it?</t>
        </is>
      </c>
      <c r="F119" s="10" t="inlineStr">
        <is>
          <t>SE handbook refactoring coverage.</t>
        </is>
      </c>
      <c r="G119" s="16" t="inlineStr">
        <is>
          <t>Verified in corpus</t>
        </is>
      </c>
      <c r="H119" s="10" t="inlineStr">
        <is>
          <t>'refactor': SE p.7,11,12… (14 pgs)</t>
        </is>
      </c>
      <c r="I119" s="16" t="inlineStr">
        <is>
          <t>In-scope</t>
        </is>
      </c>
      <c r="J119" s="16" t="inlineStr">
        <is>
          <t>In-scope</t>
        </is>
      </c>
      <c r="K119" s="11">
        <f>IF(AND(I119&lt;&gt;"",J119&lt;&gt;""),IF(I119=J119,"Agree","DISAGREE"),"")</f>
        <v/>
      </c>
      <c r="L119" s="16" t="inlineStr">
        <is>
          <t>In-scope</t>
        </is>
      </c>
      <c r="M119" s="10" t="inlineStr">
        <is>
          <t>Verified by Claude 21-Jul-2026 (read cited pages; human spot-check advised): SE ch.8 Code smells and refactoring.</t>
        </is>
      </c>
    </row>
    <row r="120" ht="42" customHeight="1" s="23">
      <c r="A120" s="11" t="inlineStr">
        <is>
          <t>Q119</t>
        </is>
      </c>
      <c r="B120" s="14" t="inlineStr">
        <is>
          <t>In-scope direct</t>
        </is>
      </c>
      <c r="C120" s="11" t="inlineStr">
        <is>
          <t>Single chunk</t>
        </is>
      </c>
      <c r="D120" s="11" t="inlineStr">
        <is>
          <t>Software eng. (SE)</t>
        </is>
      </c>
      <c r="E120" s="10" t="inlineStr">
        <is>
          <t>What is technical debt and how does it accumulate?</t>
        </is>
      </c>
      <c r="F120" s="10" t="inlineStr">
        <is>
          <t>SE handbook technical debt.</t>
        </is>
      </c>
      <c r="G120" s="16" t="inlineStr">
        <is>
          <t>Verified in corpus</t>
        </is>
      </c>
      <c r="H120" s="10" t="inlineStr">
        <is>
          <t>'technical debt': SE p.74,94,109 (3 pgs)</t>
        </is>
      </c>
      <c r="I120" s="16" t="inlineStr">
        <is>
          <t>Tangential</t>
        </is>
      </c>
      <c r="J120" s="16" t="inlineStr">
        <is>
          <t>In-scope</t>
        </is>
      </c>
      <c r="K120" s="11">
        <f>IF(AND(I120&lt;&gt;"",J120&lt;&gt;""),IF(I120=J120,"Agree","DISAGREE"),"")</f>
        <v/>
      </c>
      <c r="L120" s="16" t="inlineStr">
        <is>
          <t>In-scope</t>
        </is>
      </c>
      <c r="M120" s="10" t="inlineStr">
        <is>
          <t>Verified by Claude 21-Jul-2026 (read cited pages; human spot-check advised): SE p.74 (case study) + p.94. || ADJUDICATED (LLM-applied rules, pending author ratification): Rule 3 — SE glossary defines technical debt; p.94 explains accumulation via sloppy code; p.74 case study.</t>
        </is>
      </c>
    </row>
    <row r="121" ht="42" customHeight="1" s="23">
      <c r="A121" s="11" t="inlineStr">
        <is>
          <t>Q120</t>
        </is>
      </c>
      <c r="B121" s="14" t="inlineStr">
        <is>
          <t>In-scope direct</t>
        </is>
      </c>
      <c r="C121" s="11" t="inlineStr">
        <is>
          <t>Single chunk</t>
        </is>
      </c>
      <c r="D121" s="11" t="inlineStr">
        <is>
          <t>Software eng. (SE)</t>
        </is>
      </c>
      <c r="E121" s="10" t="inlineStr">
        <is>
          <t>What is UML used for in software design?</t>
        </is>
      </c>
      <c r="F121" s="10" t="inlineStr">
        <is>
          <t>SE handbook UML coverage.</t>
        </is>
      </c>
      <c r="G121" s="16" t="inlineStr">
        <is>
          <t>Verified in corpus</t>
        </is>
      </c>
      <c r="H121" s="10" t="inlineStr">
        <is>
          <t>'uml': SE p.6,54,55… (11 pgs)</t>
        </is>
      </c>
      <c r="I121" s="16" t="inlineStr">
        <is>
          <t>In-scope</t>
        </is>
      </c>
      <c r="J121" s="16" t="inlineStr">
        <is>
          <t>In-scope</t>
        </is>
      </c>
      <c r="K121" s="11">
        <f>IF(AND(I121&lt;&gt;"",J121&lt;&gt;""),IF(I121=J121,"Agree","DISAGREE"),"")</f>
        <v/>
      </c>
      <c r="L121" s="16" t="inlineStr">
        <is>
          <t>In-scope</t>
        </is>
      </c>
      <c r="M121" s="10" t="inlineStr">
        <is>
          <t>Verified by Claude 21-Jul-2026 (read cited pages; human spot-check advised): SE ch.4 p.54 UML class &amp; sequence diagrams.</t>
        </is>
      </c>
    </row>
    <row r="122" ht="42" customHeight="1" s="23">
      <c r="A122" s="11" t="inlineStr">
        <is>
          <t>Q121</t>
        </is>
      </c>
      <c r="B122" s="14" t="inlineStr">
        <is>
          <t>In-scope direct</t>
        </is>
      </c>
      <c r="C122" s="11" t="inlineStr">
        <is>
          <t>Single chunk</t>
        </is>
      </c>
      <c r="D122" s="11" t="inlineStr">
        <is>
          <t>Software eng. (SE)</t>
        </is>
      </c>
      <c r="E122" s="10" t="inlineStr">
        <is>
          <t>What are microservices and how do they differ from a monolithic architecture?</t>
        </is>
      </c>
      <c r="F122" s="10" t="inlineStr">
        <is>
          <t>SE handbook microservices (62 mentions).</t>
        </is>
      </c>
      <c r="G122" s="16" t="inlineStr">
        <is>
          <t>Verified in corpus</t>
        </is>
      </c>
      <c r="H122" s="10" t="inlineStr">
        <is>
          <t>'microservice': SE p.7,11,12… (14 pgs)</t>
        </is>
      </c>
      <c r="I122" s="16" t="inlineStr">
        <is>
          <t>In-scope</t>
        </is>
      </c>
      <c r="J122" s="16" t="inlineStr">
        <is>
          <t>In-scope</t>
        </is>
      </c>
      <c r="K122" s="11">
        <f>IF(AND(I122&lt;&gt;"",J122&lt;&gt;""),IF(I122=J122,"Agree","DISAGREE"),"")</f>
        <v/>
      </c>
      <c r="L122" s="16" t="inlineStr">
        <is>
          <t>In-scope</t>
        </is>
      </c>
      <c r="M122" s="10" t="inlineStr">
        <is>
          <t>Verified by Claude 21-Jul-2026 (read cited pages; human spot-check advised): SE ch.5 Monolith vs microservice architectures.</t>
        </is>
      </c>
    </row>
    <row r="123" ht="42" customHeight="1" s="23">
      <c r="A123" s="11" t="inlineStr">
        <is>
          <t>Q122</t>
        </is>
      </c>
      <c r="B123" s="14" t="inlineStr">
        <is>
          <t>In-scope direct</t>
        </is>
      </c>
      <c r="C123" s="11" t="inlineStr">
        <is>
          <t>Single chunk</t>
        </is>
      </c>
      <c r="D123" s="11" t="inlineStr">
        <is>
          <t>Software eng. (SE)</t>
        </is>
      </c>
      <c r="E123" s="10" t="inlineStr">
        <is>
          <t>What phases make up the software development life cycle?</t>
        </is>
      </c>
      <c r="F123" s="10" t="inlineStr">
        <is>
          <t>SE handbook SDLC (restores original Q038 topic).</t>
        </is>
      </c>
      <c r="G123" s="16" t="inlineStr">
        <is>
          <t>Verified in corpus</t>
        </is>
      </c>
      <c r="H123" s="10" t="inlineStr">
        <is>
          <t>'software development life cycle': SE p.5,15,106… (5 pgs) | 'sdlc': SE p.15,16,17… (5 pgs)</t>
        </is>
      </c>
      <c r="I123" s="16" t="inlineStr">
        <is>
          <t>In-scope</t>
        </is>
      </c>
      <c r="J123" s="16" t="inlineStr">
        <is>
          <t>In-scope</t>
        </is>
      </c>
      <c r="K123" s="11">
        <f>IF(AND(I123&lt;&gt;"",J123&lt;&gt;""),IF(I123=J123,"Agree","DISAGREE"),"")</f>
        <v/>
      </c>
      <c r="L123" s="16" t="inlineStr">
        <is>
          <t>In-scope</t>
        </is>
      </c>
      <c r="M123" s="10" t="inlineStr">
        <is>
          <t>Verified by Claude 21-Jul-2026 (read cited pages; human spot-check advised): SE §1.1 p.15: five SDLC stages enumerated.</t>
        </is>
      </c>
    </row>
    <row r="124" ht="55.5" customHeight="1" s="23">
      <c r="A124" s="11" t="inlineStr">
        <is>
          <t>Q123</t>
        </is>
      </c>
      <c r="B124" s="20" t="inlineStr">
        <is>
          <t>In-scope hard</t>
        </is>
      </c>
      <c r="C124" s="11" t="inlineStr">
        <is>
          <t>Multi-chunk</t>
        </is>
      </c>
      <c r="D124" s="11" t="inlineStr">
        <is>
          <t>Data structures (ODS)</t>
        </is>
      </c>
      <c r="E124" s="10" t="inlineStr">
        <is>
          <t>Compare arrays and linked lists for insertion, deletion, and random access complexity.</t>
        </is>
      </c>
      <c r="F124" s="10" t="inlineStr">
        <is>
          <t>Synthesis across ODS chapters.</t>
        </is>
      </c>
      <c r="G124" s="16" t="inlineStr">
        <is>
          <t>Verified in corpus</t>
        </is>
      </c>
      <c r="H124" s="10" t="inlineStr">
        <is>
          <t>'linked list': ODS p.4,14,37… (42 pgs) | 'array': PY p.11,308,361… (15 pgs); DS p.34,80,189… (30 pgs); ODS p.3,4,5… (113 pgs)</t>
        </is>
      </c>
      <c r="I124" s="16" t="inlineStr">
        <is>
          <t>Tangential</t>
        </is>
      </c>
      <c r="J124" s="16" t="inlineStr">
        <is>
          <t>In-scope</t>
        </is>
      </c>
      <c r="K124" s="11">
        <f>IF(AND(I124&lt;&gt;"",J124&lt;&gt;""),IF(I124=J124,"Agree","DISAGREE"),"")</f>
        <v/>
      </c>
      <c r="L124" s="16" t="inlineStr">
        <is>
          <t>In-scope</t>
        </is>
      </c>
      <c r="M124" s="10" t="inlineStr">
        <is>
          <t>Verified by Claude 21-Jul-2026 (read cited pages; human spot-check advised): ODS chs.2–3 with per-structure complexity summaries. || ADJUDICATED (LLM-applied rules, pending author ratification): Rule 3 — ODS chs.2–3 give per-operation running times for array-based and linked lists.</t>
        </is>
      </c>
    </row>
    <row r="125" ht="55.5" customHeight="1" s="23">
      <c r="A125" s="11" t="inlineStr">
        <is>
          <t>Q124</t>
        </is>
      </c>
      <c r="B125" s="20" t="inlineStr">
        <is>
          <t>In-scope hard</t>
        </is>
      </c>
      <c r="C125" s="11" t="inlineStr">
        <is>
          <t>Multi-chunk</t>
        </is>
      </c>
      <c r="D125" s="11" t="inlineStr">
        <is>
          <t>Data structures (ODS)</t>
        </is>
      </c>
      <c r="E125" s="10" t="inlineStr">
        <is>
          <t>Why does a hash table offer O(1) expected lookup while a binary search tree offers O(log n), and when would you still prefer the tree?</t>
        </is>
      </c>
      <c r="F125" s="10" t="inlineStr">
        <is>
          <t>ODS hashing + BST chapters.</t>
        </is>
      </c>
      <c r="G125" s="16" t="inlineStr">
        <is>
          <t>Verified in corpus</t>
        </is>
      </c>
      <c r="H125" s="10" t="inlineStr">
        <is>
          <t>'hash table': ODS p.5,37,113… (29 pgs) | 'binary search tree': ODS p.5,6,37… (54 pgs)</t>
        </is>
      </c>
      <c r="I125" s="16" t="inlineStr">
        <is>
          <t>Tangential</t>
        </is>
      </c>
      <c r="J125" s="16" t="inlineStr">
        <is>
          <t>In-scope</t>
        </is>
      </c>
      <c r="K125" s="11">
        <f>IF(AND(I125&lt;&gt;"",J125&lt;&gt;""),IF(I125=J125,"Agree","DISAGREE"),"")</f>
        <v/>
      </c>
      <c r="L125" s="16" t="inlineStr">
        <is>
          <t>In-scope</t>
        </is>
      </c>
      <c r="M125" s="10" t="inlineStr">
        <is>
          <t>Verified by Claude 21-Jul-2026 (read cited pages; human spot-check advised): ODS ch.5 + §6.2 + p.21 (USet vs SSet guidance). || ADJUDICATED (LLM-applied rules, pending author ratification): Rule 3 — ODS ch.5 (expected O(1)) + §6.2/ch.9 (O(log n)) + p.21 USet-vs-SSet guidance (when to prefer tree).</t>
        </is>
      </c>
    </row>
    <row r="126" ht="55.5" customHeight="1" s="23">
      <c r="A126" s="11" t="inlineStr">
        <is>
          <t>Q125</t>
        </is>
      </c>
      <c r="B126" s="20" t="inlineStr">
        <is>
          <t>In-scope hard</t>
        </is>
      </c>
      <c r="C126" s="11" t="inlineStr">
        <is>
          <t>Multi-chunk</t>
        </is>
      </c>
      <c r="D126" s="11" t="inlineStr">
        <is>
          <t>Algorithms (ODS)</t>
        </is>
      </c>
      <c r="E126" s="10" t="inlineStr">
        <is>
          <t>Compare merge sort and quicksort in worst-case behaviour and memory use.</t>
        </is>
      </c>
      <c r="F126" s="10" t="inlineStr">
        <is>
          <t>ODS sorting chapter synthesis.</t>
        </is>
      </c>
      <c r="G126" s="16" t="inlineStr">
        <is>
          <t>Verified in corpus</t>
        </is>
      </c>
      <c r="H126" s="10" t="inlineStr">
        <is>
          <t>'merge sort': ODS p.92,230,231… (4 pgs) | 'quicksort': ODS p.6,37,229… (14 pgs)</t>
        </is>
      </c>
      <c r="I126" s="16" t="inlineStr">
        <is>
          <t>Tangential</t>
        </is>
      </c>
      <c r="J126" s="16" t="inlineStr">
        <is>
          <t>In-scope</t>
        </is>
      </c>
      <c r="K126" s="11">
        <f>IF(AND(I126&lt;&gt;"",J126&lt;&gt;""),IF(I126=J126,"Agree","DISAGREE"),"")</f>
        <v/>
      </c>
      <c r="L126" s="16" t="inlineStr">
        <is>
          <t>In-scope</t>
        </is>
      </c>
      <c r="M126" s="10" t="inlineStr">
        <is>
          <t>Verified by Claude 21-Jul-2026 (read cited pages; human spot-check advised): ODS §11.1 explicit comparisons incl. lower bound. || ADJUDICATED (LLM-applied rules, pending author ratification): Rule 3 — ODS §11.1 treats merge/quick incl. worst cases, in-place vs auxiliary array, lower bound.</t>
        </is>
      </c>
    </row>
    <row r="127" ht="42" customHeight="1" s="23">
      <c r="A127" s="11" t="inlineStr">
        <is>
          <t>Q126</t>
        </is>
      </c>
      <c r="B127" s="20" t="inlineStr">
        <is>
          <t>In-scope hard</t>
        </is>
      </c>
      <c r="C127" s="11" t="inlineStr">
        <is>
          <t>Multi-chunk</t>
        </is>
      </c>
      <c r="D127" s="11" t="inlineStr">
        <is>
          <t>Software eng. (SE)</t>
        </is>
      </c>
      <c r="E127" s="10" t="inlineStr">
        <is>
          <t>How do agile and waterfall approaches differ in handling changing requirements?</t>
        </is>
      </c>
      <c r="F127" s="10" t="inlineStr">
        <is>
          <t>SE handbook process synthesis.</t>
        </is>
      </c>
      <c r="G127" s="16" t="inlineStr">
        <is>
          <t>Verified in corpus</t>
        </is>
      </c>
      <c r="H127" s="10" t="inlineStr">
        <is>
          <t>'agile': ODS p.88,89 (2 pgs); SE p.5,10,11… (34 pgs) | 'waterfall': SE p.15,16,17… (6 pgs)</t>
        </is>
      </c>
      <c r="I127" s="16" t="inlineStr">
        <is>
          <t>In-scope</t>
        </is>
      </c>
      <c r="J127" s="16" t="inlineStr">
        <is>
          <t>In-scope</t>
        </is>
      </c>
      <c r="K127" s="11">
        <f>IF(AND(I127&lt;&gt;"",J127&lt;&gt;""),IF(I127=J127,"Agree","DISAGREE"),"")</f>
        <v/>
      </c>
      <c r="L127" s="16" t="inlineStr">
        <is>
          <t>In-scope</t>
        </is>
      </c>
      <c r="M127" s="10" t="inlineStr">
        <is>
          <t>Verified by Claude 21-Jul-2026 (read cited pages; human spot-check advised): SE §1.1–1.2 p.16 (cycle structure vs waterfall).</t>
        </is>
      </c>
    </row>
    <row r="128" ht="42" customHeight="1" s="23">
      <c r="A128" s="11" t="inlineStr">
        <is>
          <t>Q127</t>
        </is>
      </c>
      <c r="B128" s="20" t="inlineStr">
        <is>
          <t>In-scope hard</t>
        </is>
      </c>
      <c r="C128" s="11" t="inlineStr">
        <is>
          <t>Paraphrase</t>
        </is>
      </c>
      <c r="D128" s="11" t="inlineStr">
        <is>
          <t>Algorithms (ODS)</t>
        </is>
      </c>
      <c r="E128" s="10" t="inlineStr">
        <is>
          <t>Why does adding an item to a resizable array occasionally cost far more than usual, yet stay cheap on average?</t>
        </is>
      </c>
      <c r="F128" s="10" t="inlineStr">
        <is>
          <t>Amortized array growth, no keyword.</t>
        </is>
      </c>
      <c r="G128" s="16" t="inlineStr">
        <is>
          <t>Verified in corpus</t>
        </is>
      </c>
      <c r="H128" s="10" t="inlineStr">
        <is>
          <t>'amortized': ODS p.4,7,32… (32 pgs) | 'resize': ODS p.45,46,47… (23 pgs)</t>
        </is>
      </c>
      <c r="I128" s="16" t="inlineStr">
        <is>
          <t>Tangential</t>
        </is>
      </c>
      <c r="J128" s="16" t="inlineStr">
        <is>
          <t>In-scope</t>
        </is>
      </c>
      <c r="K128" s="11">
        <f>IF(AND(I128&lt;&gt;"",J128&lt;&gt;""),IF(I128=J128,"Agree","DISAGREE"),"")</f>
        <v/>
      </c>
      <c r="L128" s="16" t="inlineStr">
        <is>
          <t>In-scope</t>
        </is>
      </c>
      <c r="M128" s="10" t="inlineStr">
        <is>
          <t>Verified by Claude 21-Jul-2026 (read cited pages; human spot-check advised): ODS §2.1.2 growing/shrinking + p.45 resize(). || ADJUDICATED (LLM-applied rules, pending author ratification): Rule 1+3 — ODS §2.1.2 + p.45: resize() cost and amortized argument — exactly this question.</t>
        </is>
      </c>
    </row>
    <row r="129" ht="42" customHeight="1" s="23">
      <c r="A129" s="11" t="inlineStr">
        <is>
          <t>Q128</t>
        </is>
      </c>
      <c r="B129" s="20" t="inlineStr">
        <is>
          <t>In-scope hard</t>
        </is>
      </c>
      <c r="C129" s="11" t="inlineStr">
        <is>
          <t>Paraphrase</t>
        </is>
      </c>
      <c r="D129" s="11" t="inlineStr">
        <is>
          <t>Software eng. (SE)</t>
        </is>
      </c>
      <c r="E129" s="10" t="inlineStr">
        <is>
          <t>What do we call the IOU a team accrues when it ships quick-and-dirty code to meet a deadline?</t>
        </is>
      </c>
      <c r="F129" s="10" t="inlineStr">
        <is>
          <t>Technical debt, phrased colloquially.</t>
        </is>
      </c>
      <c r="G129" s="16" t="inlineStr">
        <is>
          <t>Verified in corpus</t>
        </is>
      </c>
      <c r="H129" s="10" t="inlineStr">
        <is>
          <t>'technical debt': SE p.74,94,109 (3 pgs)</t>
        </is>
      </c>
      <c r="I129" s="16" t="inlineStr">
        <is>
          <t>Out-of-scope</t>
        </is>
      </c>
      <c r="J129" s="16" t="inlineStr">
        <is>
          <t>In-scope</t>
        </is>
      </c>
      <c r="K129" s="11">
        <f>IF(AND(I129&lt;&gt;"",J129&lt;&gt;""),IF(I129=J129,"Agree","DISAGREE"),"")</f>
        <v/>
      </c>
      <c r="L129" s="16" t="inlineStr">
        <is>
          <t>In-scope</t>
        </is>
      </c>
      <c r="M129" s="10" t="inlineStr">
        <is>
          <t>Verified by Claude 21-Jul-2026 (read cited pages; human spot-check advised): SE p.94. || ADJUDICATED (LLM-applied rules, pending author ratification): Rule 1+3 — SE p.94 technical-debt accumulation. Paraphrase judged on concept.</t>
        </is>
      </c>
    </row>
    <row r="130" ht="42" customHeight="1" s="23">
      <c r="A130" s="11" t="inlineStr">
        <is>
          <t>Q129</t>
        </is>
      </c>
      <c r="B130" s="20" t="inlineStr">
        <is>
          <t>In-scope hard</t>
        </is>
      </c>
      <c r="C130" s="11" t="inlineStr">
        <is>
          <t>Paraphrase</t>
        </is>
      </c>
      <c r="D130" s="11" t="inlineStr">
        <is>
          <t>Software eng. (SE)</t>
        </is>
      </c>
      <c r="E130" s="10" t="inlineStr">
        <is>
          <t>What do we call the fictional characters teams invent to stand in for typical users?</t>
        </is>
      </c>
      <c r="F130" s="10" t="inlineStr">
        <is>
          <t>Personas, phrased without the term.</t>
        </is>
      </c>
      <c r="G130" s="16" t="inlineStr">
        <is>
          <t>Verified in corpus</t>
        </is>
      </c>
      <c r="H130" s="10" t="inlineStr">
        <is>
          <t>'personas': SE p.7,50,53… (13 pgs)</t>
        </is>
      </c>
      <c r="I130" s="16" t="inlineStr">
        <is>
          <t>Out-of-scope</t>
        </is>
      </c>
      <c r="J130" s="16" t="inlineStr">
        <is>
          <t>In-scope</t>
        </is>
      </c>
      <c r="K130" s="11">
        <f>IF(AND(I130&lt;&gt;"",J130&lt;&gt;""),IF(I130=J130,"Agree","DISAGREE"),"")</f>
        <v/>
      </c>
      <c r="L130" s="16" t="inlineStr">
        <is>
          <t>In-scope</t>
        </is>
      </c>
      <c r="M130" s="10" t="inlineStr">
        <is>
          <t>Verified by Claude 21-Jul-2026 (read cited pages; human spot-check advised): SE §7.2 Inclusivity heuristics personas + p.50. || ADJUDICATED (LLM-applied rules, pending author ratification): Rule 1+3 — SE §7.2 personas defined as stand-ins for users. Concept rule.</t>
        </is>
      </c>
    </row>
    <row r="131" ht="42" customHeight="1" s="23">
      <c r="A131" s="11" t="inlineStr">
        <is>
          <t>Q130</t>
        </is>
      </c>
      <c r="B131" s="20" t="inlineStr">
        <is>
          <t>In-scope hard</t>
        </is>
      </c>
      <c r="C131" s="11" t="inlineStr">
        <is>
          <t>Paraphrase</t>
        </is>
      </c>
      <c r="D131" s="11" t="inlineStr">
        <is>
          <t>Algorithms (ODS)</t>
        </is>
      </c>
      <c r="E131" s="10" t="inlineStr">
        <is>
          <t>How can you sort numbers without ever comparing two of them against each other?</t>
        </is>
      </c>
      <c r="F131" s="10" t="inlineStr">
        <is>
          <t>Counting/radix sort, no keyword.</t>
        </is>
      </c>
      <c r="G131" s="16" t="inlineStr">
        <is>
          <t>Verified in corpus</t>
        </is>
      </c>
      <c r="H131" s="10" t="inlineStr">
        <is>
          <t>'counting sort': ODS p.6,243,244… (6 pgs) | 'radix': ODS p.6,243,245… (8 pgs)</t>
        </is>
      </c>
      <c r="I131" s="16" t="inlineStr">
        <is>
          <t>Tangential</t>
        </is>
      </c>
      <c r="J131" s="16" t="inlineStr">
        <is>
          <t>In-scope</t>
        </is>
      </c>
      <c r="K131" s="11">
        <f>IF(AND(I131&lt;&gt;"",J131&lt;&gt;""),IF(I131=J131,"Agree","DISAGREE"),"")</f>
        <v/>
      </c>
      <c r="L131" s="16" t="inlineStr">
        <is>
          <t>In-scope</t>
        </is>
      </c>
      <c r="M131" s="10" t="inlineStr">
        <is>
          <t>Verified by Claude 21-Jul-2026 (read cited pages; human spot-check advised): ODS §11.2 p.243: 'not comparison-based'. || ADJUDICATED (LLM-applied rules, pending author ratification): Rule 1+3 — ODS §11.2 p.243: counting/radix 'not comparison-based'. Concept rule.</t>
        </is>
      </c>
    </row>
    <row r="132" ht="55.5" customHeight="1" s="23">
      <c r="A132" s="11" t="inlineStr">
        <is>
          <t>Q131</t>
        </is>
      </c>
      <c r="B132" s="21" t="inlineStr">
        <is>
          <t>Tangential</t>
        </is>
      </c>
      <c r="C132" s="11" t="inlineStr">
        <is>
          <t>Near-topic absent</t>
        </is>
      </c>
      <c r="D132" s="11" t="inlineStr">
        <is>
          <t>Software eng. advanced</t>
        </is>
      </c>
      <c r="E132" s="10" t="inlineStr">
        <is>
          <t>How does test-driven development's red-green-refactor cycle work?</t>
        </is>
      </c>
      <c r="F132" s="10" t="inlineStr">
        <is>
          <t>'Refactor' present in SE book; TDD verified absent.</t>
        </is>
      </c>
      <c r="G132" s="16" t="inlineStr">
        <is>
          <t>Verified absent</t>
        </is>
      </c>
      <c r="H132" s="10" t="inlineStr">
        <is>
          <t>no hits</t>
        </is>
      </c>
      <c r="I132" s="16" t="inlineStr">
        <is>
          <t>Out-of-scope</t>
        </is>
      </c>
      <c r="J132" s="16" t="inlineStr">
        <is>
          <t>Out-of-scope</t>
        </is>
      </c>
      <c r="K132" s="11">
        <f>IF(AND(I132&lt;&gt;"",J132&lt;&gt;""),IF(I132=J132,"Agree","DISAGREE"),"")</f>
        <v/>
      </c>
      <c r="L132" s="16" t="inlineStr">
        <is>
          <t>Out-of-scope</t>
        </is>
      </c>
      <c r="M132" s="10" t="inlineStr">
        <is>
          <t>Adjudicated by Claude 21-Jul-2026 (human spot-check advised): 'Refactor' covered in SE book; test-driven development verified absent.</t>
        </is>
      </c>
    </row>
    <row r="133" ht="27.75" customHeight="1" s="23">
      <c r="A133" s="11" t="inlineStr">
        <is>
          <t>Q132</t>
        </is>
      </c>
      <c r="B133" s="21" t="inlineStr">
        <is>
          <t>Tangential</t>
        </is>
      </c>
      <c r="C133" s="11" t="inlineStr">
        <is>
          <t>Near-topic absent</t>
        </is>
      </c>
      <c r="D133" s="11" t="inlineStr">
        <is>
          <t>Software eng. advanced</t>
        </is>
      </c>
      <c r="E133" s="10" t="inlineStr">
        <is>
          <t>How does Kanban limit work in progress compared to Scrum?</t>
        </is>
      </c>
      <c r="F133" s="10" t="inlineStr">
        <is>
          <t>Scrum covered; Kanban verified absent.</t>
        </is>
      </c>
      <c r="G133" s="16" t="inlineStr">
        <is>
          <t>Verified absent</t>
        </is>
      </c>
      <c r="H133" s="10" t="inlineStr">
        <is>
          <t>no hits</t>
        </is>
      </c>
      <c r="I133" s="16" t="inlineStr">
        <is>
          <t>Out-of-scope</t>
        </is>
      </c>
      <c r="J133" s="16" t="inlineStr">
        <is>
          <t>Tangential</t>
        </is>
      </c>
      <c r="K133" s="11">
        <f>IF(AND(I133&lt;&gt;"",J133&lt;&gt;""),IF(I133=J133,"Agree","DISAGREE"),"")</f>
        <v/>
      </c>
      <c r="L133" s="16" t="inlineStr">
        <is>
          <t>Tangential</t>
        </is>
      </c>
      <c r="M133" s="10" t="inlineStr">
        <is>
          <t>Machine-verified absent (lexical, normalized, 4 books) || ADJUDICATED (LLM-applied rules, pending author ratification): Rule 2 — Scrum covered (SE §1.2); Kanban absent → Tangential.</t>
        </is>
      </c>
    </row>
    <row r="134" ht="27.75" customHeight="1" s="23">
      <c r="A134" s="11" t="inlineStr">
        <is>
          <t>Q133</t>
        </is>
      </c>
      <c r="B134" s="21" t="inlineStr">
        <is>
          <t>Tangential</t>
        </is>
      </c>
      <c r="C134" s="11" t="inlineStr">
        <is>
          <t>Near-topic absent</t>
        </is>
      </c>
      <c r="D134" s="11" t="inlineStr">
        <is>
          <t>Software eng. advanced</t>
        </is>
      </c>
      <c r="E134" s="10" t="inlineStr">
        <is>
          <t>What practices define DevOps culture in software teams?</t>
        </is>
      </c>
      <c r="F134" s="10" t="inlineStr">
        <is>
          <t>SE vocabulary; DevOps verified absent.</t>
        </is>
      </c>
      <c r="G134" s="16" t="inlineStr">
        <is>
          <t>Verified absent</t>
        </is>
      </c>
      <c r="H134" s="10" t="inlineStr">
        <is>
          <t>no hits</t>
        </is>
      </c>
      <c r="I134" s="16" t="inlineStr">
        <is>
          <t>Out-of-scope</t>
        </is>
      </c>
      <c r="J134" s="16" t="inlineStr">
        <is>
          <t>Out-of-scope</t>
        </is>
      </c>
      <c r="K134" s="11">
        <f>IF(AND(I134&lt;&gt;"",J134&lt;&gt;""),IF(I134=J134,"Agree","DISAGREE"),"")</f>
        <v/>
      </c>
      <c r="L134" s="16" t="inlineStr">
        <is>
          <t>Out-of-scope</t>
        </is>
      </c>
      <c r="M134" s="10" t="inlineStr">
        <is>
          <t>Machine-verified absent (lexical, normalized, 4 books)</t>
        </is>
      </c>
    </row>
    <row r="135" ht="27.75" customHeight="1" s="23">
      <c r="A135" s="11" t="inlineStr">
        <is>
          <t>Q134</t>
        </is>
      </c>
      <c r="B135" s="21" t="inlineStr">
        <is>
          <t>Tangential</t>
        </is>
      </c>
      <c r="C135" s="11" t="inlineStr">
        <is>
          <t>Near-topic absent</t>
        </is>
      </c>
      <c r="D135" s="11" t="inlineStr">
        <is>
          <t>Software eng. advanced</t>
        </is>
      </c>
      <c r="E135" s="10" t="inlineStr">
        <is>
          <t>How does mutation testing measure test-suite quality?</t>
        </is>
      </c>
      <c r="F135" s="10" t="inlineStr">
        <is>
          <t>Testing vocabulary; mutation testing absent.</t>
        </is>
      </c>
      <c r="G135" s="16" t="inlineStr">
        <is>
          <t>Verified absent</t>
        </is>
      </c>
      <c r="H135" s="10" t="inlineStr">
        <is>
          <t>no hits</t>
        </is>
      </c>
      <c r="I135" s="16" t="inlineStr">
        <is>
          <t>Out-of-scope</t>
        </is>
      </c>
      <c r="J135" s="16" t="inlineStr">
        <is>
          <t>Tangential</t>
        </is>
      </c>
      <c r="K135" s="11">
        <f>IF(AND(I135&lt;&gt;"",J135&lt;&gt;""),IF(I135=J135,"Agree","DISAGREE"),"")</f>
        <v/>
      </c>
      <c r="L135" s="16" t="inlineStr">
        <is>
          <t>Tangential</t>
        </is>
      </c>
      <c r="M135" s="10" t="inlineStr">
        <is>
          <t>Machine-verified absent (lexical, normalized, 4 books) || ADJUDICATED (LLM-applied rules, pending author ratification): Rule 2 — Testing is an SDLC stage (SE §1.1); mutation testing absent → Tangential.</t>
        </is>
      </c>
    </row>
    <row r="136" ht="27.75" customHeight="1" s="23">
      <c r="A136" s="11" t="inlineStr">
        <is>
          <t>Q135</t>
        </is>
      </c>
      <c r="B136" s="21" t="inlineStr">
        <is>
          <t>Tangential</t>
        </is>
      </c>
      <c r="C136" s="11" t="inlineStr">
        <is>
          <t>Near-topic absent</t>
        </is>
      </c>
      <c r="D136" s="11" t="inlineStr">
        <is>
          <t>Software eng. advanced</t>
        </is>
      </c>
      <c r="E136" s="10" t="inlineStr">
        <is>
          <t>What does code coverage measure, and what are its limitations?</t>
        </is>
      </c>
      <c r="F136" s="10" t="inlineStr">
        <is>
          <t>Testing vocabulary; code coverage absent.</t>
        </is>
      </c>
      <c r="G136" s="16" t="inlineStr">
        <is>
          <t>Verified absent</t>
        </is>
      </c>
      <c r="H136" s="10" t="inlineStr">
        <is>
          <t>no hits</t>
        </is>
      </c>
      <c r="I136" s="16" t="inlineStr">
        <is>
          <t>Out-of-scope</t>
        </is>
      </c>
      <c r="J136" s="16" t="inlineStr">
        <is>
          <t>Tangential</t>
        </is>
      </c>
      <c r="K136" s="11">
        <f>IF(AND(I136&lt;&gt;"",J136&lt;&gt;""),IF(I136=J136,"Agree","DISAGREE"),"")</f>
        <v/>
      </c>
      <c r="L136" s="16" t="inlineStr">
        <is>
          <t>Tangential</t>
        </is>
      </c>
      <c r="M136" s="10" t="inlineStr">
        <is>
          <t>Machine-verified absent (lexical, normalized, 4 books) || ADJUDICATED (LLM-applied rules, pending author ratification): Rule 2 — Testing covered as SDLC stage; code coverage absent → Tangential.</t>
        </is>
      </c>
    </row>
    <row r="137" ht="27.75" customHeight="1" s="23">
      <c r="A137" s="11" t="inlineStr">
        <is>
          <t>Q136</t>
        </is>
      </c>
      <c r="B137" s="21" t="inlineStr">
        <is>
          <t>Tangential</t>
        </is>
      </c>
      <c r="C137" s="11" t="inlineStr">
        <is>
          <t>Near-topic absent</t>
        </is>
      </c>
      <c r="D137" s="11" t="inlineStr">
        <is>
          <t>Software eng. advanced</t>
        </is>
      </c>
      <c r="E137" s="10" t="inlineStr">
        <is>
          <t>How does continuous deployment differ from continuous delivery?</t>
        </is>
      </c>
      <c r="F137" s="10" t="inlineStr">
        <is>
          <t>SE vocabulary; both terms absent.</t>
        </is>
      </c>
      <c r="G137" s="16" t="inlineStr">
        <is>
          <t>Verified absent</t>
        </is>
      </c>
      <c r="H137" s="10" t="inlineStr">
        <is>
          <t>no hits</t>
        </is>
      </c>
      <c r="I137" s="16" t="inlineStr">
        <is>
          <t>Out-of-scope</t>
        </is>
      </c>
      <c r="J137" s="16" t="inlineStr">
        <is>
          <t>Out-of-scope</t>
        </is>
      </c>
      <c r="K137" s="11">
        <f>IF(AND(I137&lt;&gt;"",J137&lt;&gt;""),IF(I137=J137,"Agree","DISAGREE"),"")</f>
        <v/>
      </c>
      <c r="L137" s="16" t="inlineStr">
        <is>
          <t>Out-of-scope</t>
        </is>
      </c>
      <c r="M137" s="10" t="inlineStr">
        <is>
          <t>Machine-verified absent (lexical, normalized, 4 books)</t>
        </is>
      </c>
    </row>
    <row r="138" ht="55.5" customHeight="1" s="23">
      <c r="A138" s="11" t="inlineStr">
        <is>
          <t>Q137</t>
        </is>
      </c>
      <c r="B138" s="21" t="inlineStr">
        <is>
          <t>Tangential</t>
        </is>
      </c>
      <c r="C138" s="11" t="inlineStr">
        <is>
          <t>Near-topic absent</t>
        </is>
      </c>
      <c r="D138" s="11" t="inlineStr">
        <is>
          <t>Software eng. advanced</t>
        </is>
      </c>
      <c r="E138" s="10" t="inlineStr">
        <is>
          <t>How is a sprint burndown chart constructed and read?</t>
        </is>
      </c>
      <c r="F138" s="10" t="inlineStr">
        <is>
          <t>'Sprint' covered in SE book; burndown absent.</t>
        </is>
      </c>
      <c r="G138" s="16" t="inlineStr">
        <is>
          <t>Verified absent</t>
        </is>
      </c>
      <c r="H138" s="10" t="inlineStr">
        <is>
          <t>'sprint': DS p.342,343 (2 pgs); SE p.19,20,30… (8 pgs)</t>
        </is>
      </c>
      <c r="I138" s="16" t="inlineStr">
        <is>
          <t>Out-of-scope</t>
        </is>
      </c>
      <c r="J138" s="16" t="inlineStr">
        <is>
          <t>Tangential</t>
        </is>
      </c>
      <c r="K138" s="11">
        <f>IF(AND(I138&lt;&gt;"",J138&lt;&gt;""),IF(I138=J138,"Agree","DISAGREE"),"")</f>
        <v/>
      </c>
      <c r="L138" s="16" t="inlineStr">
        <is>
          <t>Tangential</t>
        </is>
      </c>
      <c r="M138" s="10" t="inlineStr">
        <is>
          <t>Adjudicated by Claude 21-Jul-2026 (human spot-check advised): 'Sprint' covered (50 mentions in SE); burndown charts verified absent. || ADJUDICATED (LLM-applied rules, pending author ratification): Rule 2 — Sprints covered (50 mentions); burndown charts absent → Tangential.</t>
        </is>
      </c>
    </row>
    <row r="139" ht="27.75" customHeight="1" s="23">
      <c r="A139" s="11" t="inlineStr">
        <is>
          <t>Q138</t>
        </is>
      </c>
      <c r="B139" s="21" t="inlineStr">
        <is>
          <t>Tangential</t>
        </is>
      </c>
      <c r="C139" s="11" t="inlineStr">
        <is>
          <t>Near-topic absent</t>
        </is>
      </c>
      <c r="D139" s="11" t="inlineStr">
        <is>
          <t>Algorithms advanced</t>
        </is>
      </c>
      <c r="E139" s="10" t="inlineStr">
        <is>
          <t>How does dynamic programming differ from divide-and-conquer?</t>
        </is>
      </c>
      <c r="F139" s="10" t="inlineStr">
        <is>
          <t>Algorithms vocabulary; DP verified absent.</t>
        </is>
      </c>
      <c r="G139" s="16" t="inlineStr">
        <is>
          <t>Verified absent</t>
        </is>
      </c>
      <c r="H139" s="10" t="inlineStr">
        <is>
          <t>no hits</t>
        </is>
      </c>
      <c r="I139" s="16" t="inlineStr">
        <is>
          <t>Tangential</t>
        </is>
      </c>
      <c r="J139" s="16" t="inlineStr">
        <is>
          <t>Out-of-scope</t>
        </is>
      </c>
      <c r="K139" s="11">
        <f>IF(AND(I139&lt;&gt;"",J139&lt;&gt;""),IF(I139=J139,"Agree","DISAGREE"),"")</f>
        <v/>
      </c>
      <c r="L139" s="16" t="inlineStr">
        <is>
          <t>Tangential</t>
        </is>
      </c>
      <c r="M139" s="10" t="inlineStr">
        <is>
          <t>Machine-verified absent (lexical, normalized, 4 books) || ADJUDICATED (LLM-applied rules, pending author ratification): Rule 2+3 — Recursion/divide-style algorithms covered (merge sort); 'dynamic programming' has zero hits (V's 'mentions' unsupported) → Tangential.</t>
        </is>
      </c>
    </row>
    <row r="140" ht="84" customHeight="1" s="23">
      <c r="A140" s="11" t="inlineStr">
        <is>
          <t>Q139</t>
        </is>
      </c>
      <c r="B140" s="21" t="inlineStr">
        <is>
          <t>Tangential</t>
        </is>
      </c>
      <c r="C140" s="11" t="inlineStr">
        <is>
          <t>Near-topic absent</t>
        </is>
      </c>
      <c r="D140" s="11" t="inlineStr">
        <is>
          <t>Algorithms advanced</t>
        </is>
      </c>
      <c r="E140" s="10" t="inlineStr">
        <is>
          <t>How does Dijkstra's algorithm compute shortest paths with a priority queue?</t>
        </is>
      </c>
      <c r="F140" s="10" t="inlineStr">
        <is>
          <t>'Shortest path' + priority queues in ODS; Dijkstra only a bibliography mention.</t>
        </is>
      </c>
      <c r="G140" s="16" t="inlineStr">
        <is>
          <t>Verified absent</t>
        </is>
      </c>
      <c r="H140" s="10" t="inlineStr">
        <is>
          <t>'dijkstra': ODS p.227 (1 pgs) | 'shortest path': ODS p.227,256,262… (5 pgs)</t>
        </is>
      </c>
      <c r="I140" s="16" t="inlineStr">
        <is>
          <t>Out-of-scope</t>
        </is>
      </c>
      <c r="J140" s="16" t="inlineStr">
        <is>
          <t>Tangential</t>
        </is>
      </c>
      <c r="K140" s="11">
        <f>IF(AND(I140&lt;&gt;"",J140&lt;&gt;""),IF(I140=J140,"Agree","DISAGREE"),"")</f>
        <v/>
      </c>
      <c r="L140" s="16" t="inlineStr">
        <is>
          <t>Tangential</t>
        </is>
      </c>
      <c r="M140" s="10" t="inlineStr">
        <is>
          <t>Adjudicated by Claude 21-Jul-2026 (human spot-check advised): Dijkstra appears once in ODS (bibliography/discussion mention only); the algorithm is never taught. 'Shortest path' and priority queues covered — strong hard negative. || ADJUDICATED (LLM-applied rules, pending author ratification): Rule 2+3 — Shortest paths + priority queues covered; Dijkstra only a bibliography mention → Tangential.</t>
        </is>
      </c>
    </row>
    <row r="141" ht="55.5" customHeight="1" s="23">
      <c r="A141" s="11" t="inlineStr">
        <is>
          <t>Q140</t>
        </is>
      </c>
      <c r="B141" s="21" t="inlineStr">
        <is>
          <t>Tangential</t>
        </is>
      </c>
      <c r="C141" s="11" t="inlineStr">
        <is>
          <t>Near-topic absent</t>
        </is>
      </c>
      <c r="D141" s="11" t="inlineStr">
        <is>
          <t>Data structures advanced</t>
        </is>
      </c>
      <c r="E141" s="10" t="inlineStr">
        <is>
          <t>How does a Bloom filter trade memory for false positives?</t>
        </is>
      </c>
      <c r="F141" s="10" t="inlineStr">
        <is>
          <t>Hashing covered; Bloom filters verified absent.</t>
        </is>
      </c>
      <c r="G141" s="16" t="inlineStr">
        <is>
          <t>Verified absent</t>
        </is>
      </c>
      <c r="H141" s="10" t="inlineStr">
        <is>
          <t>'hash': PY p.37,390 (2 pgs); DS p.80,101,107… (8 pgs); ODS p.5,21,36… (52 pgs)</t>
        </is>
      </c>
      <c r="I141" s="16" t="inlineStr">
        <is>
          <t>Out-of-scope</t>
        </is>
      </c>
      <c r="J141" s="16" t="inlineStr">
        <is>
          <t>Out-of-scope</t>
        </is>
      </c>
      <c r="K141" s="11">
        <f>IF(AND(I141&lt;&gt;"",J141&lt;&gt;""),IF(I141=J141,"Agree","DISAGREE"),"")</f>
        <v/>
      </c>
      <c r="L141" s="16" t="inlineStr">
        <is>
          <t>Out-of-scope</t>
        </is>
      </c>
      <c r="M141" s="10" t="inlineStr">
        <is>
          <t>Adjudicated by Claude 21-Jul-2026 (human spot-check advised): 'Hash/hashing' heavily covered in ODS; Bloom filters verified absent.</t>
        </is>
      </c>
    </row>
    <row r="142" ht="27.75" customHeight="1" s="23">
      <c r="A142" s="11" t="inlineStr">
        <is>
          <t>Q141</t>
        </is>
      </c>
      <c r="B142" s="22" t="inlineStr">
        <is>
          <t>Out-of-scope</t>
        </is>
      </c>
      <c r="C142" s="11" t="inlineStr">
        <is>
          <t>Unrelated domain</t>
        </is>
      </c>
      <c r="D142" s="11" t="inlineStr">
        <is>
          <t>Energy</t>
        </is>
      </c>
      <c r="E142" s="10" t="inlineStr">
        <is>
          <t>How does a nuclear reactor generate electricity?</t>
        </is>
      </c>
      <c r="F142" s="10" t="inlineStr">
        <is>
          <t>Zero corpus overlap.</t>
        </is>
      </c>
      <c r="G142" s="16" t="inlineStr">
        <is>
          <t>Verified absent</t>
        </is>
      </c>
      <c r="H142" s="10" t="inlineStr">
        <is>
          <t>no hits</t>
        </is>
      </c>
      <c r="I142" s="16" t="inlineStr">
        <is>
          <t>Out-of-scope</t>
        </is>
      </c>
      <c r="J142" s="16" t="inlineStr">
        <is>
          <t>Out-of-scope</t>
        </is>
      </c>
      <c r="K142" s="11">
        <f>IF(AND(I142&lt;&gt;"",J142&lt;&gt;""),IF(I142=J142,"Agree","DISAGREE"),"")</f>
        <v/>
      </c>
      <c r="L142" s="16" t="inlineStr">
        <is>
          <t>Out-of-scope</t>
        </is>
      </c>
      <c r="M142" s="10" t="inlineStr">
        <is>
          <t>Machine-verified absent (lexical, normalized, 4 books)</t>
        </is>
      </c>
    </row>
    <row r="143" ht="42" customHeight="1" s="23">
      <c r="A143" s="11" t="inlineStr">
        <is>
          <t>Q142</t>
        </is>
      </c>
      <c r="B143" s="22" t="inlineStr">
        <is>
          <t>Out-of-scope</t>
        </is>
      </c>
      <c r="C143" s="11" t="inlineStr">
        <is>
          <t>Unrelated domain</t>
        </is>
      </c>
      <c r="D143" s="11" t="inlineStr">
        <is>
          <t>Geography</t>
        </is>
      </c>
      <c r="E143" s="10" t="inlineStr">
        <is>
          <t>What is the capital of Mongolia?</t>
        </is>
      </c>
      <c r="F143" s="10" t="inlineStr">
        <is>
          <t>Zero corpus overlap (replaced Hamlet — DS book discusses Hamlet in an AI-education passage).</t>
        </is>
      </c>
      <c r="G143" s="16" t="inlineStr">
        <is>
          <t>Verified absent</t>
        </is>
      </c>
      <c r="H143" s="10" t="inlineStr">
        <is>
          <t>no hits</t>
        </is>
      </c>
      <c r="I143" s="16" t="inlineStr">
        <is>
          <t>Out-of-scope</t>
        </is>
      </c>
      <c r="J143" s="16" t="inlineStr">
        <is>
          <t>Out-of-scope</t>
        </is>
      </c>
      <c r="K143" s="11">
        <f>IF(AND(I143&lt;&gt;"",J143&lt;&gt;""),IF(I143=J143,"Agree","DISAGREE"),"")</f>
        <v/>
      </c>
      <c r="L143" s="16" t="inlineStr">
        <is>
          <t>Out-of-scope</t>
        </is>
      </c>
      <c r="M143" s="10" t="inlineStr">
        <is>
          <t>Machine-verified absent (lexical, normalized, 4 books)</t>
        </is>
      </c>
    </row>
    <row r="144" ht="42" customHeight="1" s="23">
      <c r="A144" s="11" t="inlineStr">
        <is>
          <t>Q143</t>
        </is>
      </c>
      <c r="B144" s="22" t="inlineStr">
        <is>
          <t>Out-of-scope</t>
        </is>
      </c>
      <c r="C144" s="11" t="inlineStr">
        <is>
          <t>Unrelated domain</t>
        </is>
      </c>
      <c r="D144" s="11" t="inlineStr">
        <is>
          <t>Music</t>
        </is>
      </c>
      <c r="E144" s="10" t="inlineStr">
        <is>
          <t>How does a piano's action mechanism produce sound?</t>
        </is>
      </c>
      <c r="F144" s="10" t="inlineStr">
        <is>
          <t>Zero corpus overlap (replaced vaccines — DS book uses a vaccine example for hypothesis testing).</t>
        </is>
      </c>
      <c r="G144" s="16" t="inlineStr">
        <is>
          <t>Verified absent</t>
        </is>
      </c>
      <c r="H144" s="10" t="inlineStr">
        <is>
          <t>no hits</t>
        </is>
      </c>
      <c r="I144" s="16" t="inlineStr">
        <is>
          <t>Out-of-scope</t>
        </is>
      </c>
      <c r="J144" s="16" t="inlineStr">
        <is>
          <t>Out-of-scope</t>
        </is>
      </c>
      <c r="K144" s="11">
        <f>IF(AND(I144&lt;&gt;"",J144&lt;&gt;""),IF(I144=J144,"Agree","DISAGREE"),"")</f>
        <v/>
      </c>
      <c r="L144" s="16" t="inlineStr">
        <is>
          <t>Out-of-scope</t>
        </is>
      </c>
      <c r="M144" s="10" t="inlineStr">
        <is>
          <t>Machine-verified absent (lexical, normalized, 4 books)</t>
        </is>
      </c>
    </row>
    <row r="145" ht="42" customHeight="1" s="23">
      <c r="A145" s="11" t="inlineStr">
        <is>
          <t>Q144</t>
        </is>
      </c>
      <c r="B145" s="22" t="inlineStr">
        <is>
          <t>Out-of-scope</t>
        </is>
      </c>
      <c r="C145" s="11" t="inlineStr">
        <is>
          <t>Unrelated domain</t>
        </is>
      </c>
      <c r="D145" s="11" t="inlineStr">
        <is>
          <t>Geology</t>
        </is>
      </c>
      <c r="E145" s="10" t="inlineStr">
        <is>
          <t>What causes a volcano to erupt?</t>
        </is>
      </c>
      <c r="F145" s="10" t="inlineStr">
        <is>
          <t>Zero corpus overlap (replaced sourdough — PY book has a sourdough-recipe programming exercise).</t>
        </is>
      </c>
      <c r="G145" s="16" t="inlineStr">
        <is>
          <t>Verified absent</t>
        </is>
      </c>
      <c r="H145" s="10" t="inlineStr">
        <is>
          <t>no hits</t>
        </is>
      </c>
      <c r="I145" s="16" t="inlineStr">
        <is>
          <t>Out-of-scope</t>
        </is>
      </c>
      <c r="J145" s="16" t="inlineStr">
        <is>
          <t>Out-of-scope</t>
        </is>
      </c>
      <c r="K145" s="11">
        <f>IF(AND(I145&lt;&gt;"",J145&lt;&gt;""),IF(I145=J145,"Agree","DISAGREE"),"")</f>
        <v/>
      </c>
      <c r="L145" s="16" t="inlineStr">
        <is>
          <t>Out-of-scope</t>
        </is>
      </c>
      <c r="M145" s="10" t="inlineStr">
        <is>
          <t>Machine-verified absent (lexical, normalized, 4 books)</t>
        </is>
      </c>
    </row>
    <row r="146" ht="27.75" customHeight="1" s="23">
      <c r="A146" s="11" t="inlineStr">
        <is>
          <t>Q145</t>
        </is>
      </c>
      <c r="B146" s="22" t="inlineStr">
        <is>
          <t>Out-of-scope</t>
        </is>
      </c>
      <c r="C146" s="11" t="inlineStr">
        <is>
          <t>Near-domain absent</t>
        </is>
      </c>
      <c r="D146" s="11" t="inlineStr">
        <is>
          <t>Git</t>
        </is>
      </c>
      <c r="E146" s="10" t="inlineStr">
        <is>
          <t>How does git rebase differ from git merge?</t>
        </is>
      </c>
      <c r="F146" s="10" t="inlineStr">
        <is>
          <t>Version control covered conceptually; git commands never taught.</t>
        </is>
      </c>
      <c r="G146" s="16" t="inlineStr">
        <is>
          <t>Verified absent</t>
        </is>
      </c>
      <c r="H146" s="10" t="inlineStr">
        <is>
          <t>no hits</t>
        </is>
      </c>
      <c r="I146" s="16" t="inlineStr">
        <is>
          <t>Out-of-scope</t>
        </is>
      </c>
      <c r="J146" s="16" t="inlineStr">
        <is>
          <t>Out-of-scope</t>
        </is>
      </c>
      <c r="K146" s="11">
        <f>IF(AND(I146&lt;&gt;"",J146&lt;&gt;""),IF(I146=J146,"Agree","DISAGREE"),"")</f>
        <v/>
      </c>
      <c r="L146" s="16" t="inlineStr">
        <is>
          <t>Out-of-scope</t>
        </is>
      </c>
      <c r="M146" s="10" t="inlineStr">
        <is>
          <t>Machine-verified absent (lexical, normalized, 4 books)</t>
        </is>
      </c>
    </row>
    <row r="147" ht="27.75" customHeight="1" s="23">
      <c r="A147" s="11" t="inlineStr">
        <is>
          <t>Q146</t>
        </is>
      </c>
      <c r="B147" s="22" t="inlineStr">
        <is>
          <t>Out-of-scope</t>
        </is>
      </c>
      <c r="C147" s="11" t="inlineStr">
        <is>
          <t>Near-domain absent</t>
        </is>
      </c>
      <c r="D147" s="11" t="inlineStr">
        <is>
          <t>APIs</t>
        </is>
      </c>
      <c r="E147" s="10" t="inlineStr">
        <is>
          <t>How do GraphQL queries differ from REST endpoints?</t>
        </is>
      </c>
      <c r="F147" s="10" t="inlineStr">
        <is>
          <t>API-adjacent; GraphQL verified absent.</t>
        </is>
      </c>
      <c r="G147" s="16" t="inlineStr">
        <is>
          <t>Verified absent</t>
        </is>
      </c>
      <c r="H147" s="10" t="inlineStr">
        <is>
          <t>no hits</t>
        </is>
      </c>
      <c r="I147" s="16" t="inlineStr">
        <is>
          <t>Out-of-scope</t>
        </is>
      </c>
      <c r="J147" s="16" t="inlineStr">
        <is>
          <t>Out-of-scope</t>
        </is>
      </c>
      <c r="K147" s="11">
        <f>IF(AND(I147&lt;&gt;"",J147&lt;&gt;""),IF(I147=J147,"Agree","DISAGREE"),"")</f>
        <v/>
      </c>
      <c r="L147" s="16" t="inlineStr">
        <is>
          <t>Out-of-scope</t>
        </is>
      </c>
      <c r="M147" s="10" t="inlineStr">
        <is>
          <t>Machine-verified absent (lexical, normalized, 4 books)</t>
        </is>
      </c>
    </row>
    <row r="148" ht="27.75" customHeight="1" s="23">
      <c r="A148" s="11" t="inlineStr">
        <is>
          <t>Q147</t>
        </is>
      </c>
      <c r="B148" s="22" t="inlineStr">
        <is>
          <t>Out-of-scope</t>
        </is>
      </c>
      <c r="C148" s="11" t="inlineStr">
        <is>
          <t>Near-domain absent</t>
        </is>
      </c>
      <c r="D148" s="11" t="inlineStr">
        <is>
          <t>Infrastructure</t>
        </is>
      </c>
      <c r="E148" s="10" t="inlineStr">
        <is>
          <t>How does Terraform manage infrastructure state files?</t>
        </is>
      </c>
      <c r="F148" s="10" t="inlineStr">
        <is>
          <t>DevOps-adjacent; verified absent.</t>
        </is>
      </c>
      <c r="G148" s="16" t="inlineStr">
        <is>
          <t>Verified absent</t>
        </is>
      </c>
      <c r="H148" s="10" t="inlineStr">
        <is>
          <t>no hits</t>
        </is>
      </c>
      <c r="I148" s="16" t="inlineStr">
        <is>
          <t>Out-of-scope</t>
        </is>
      </c>
      <c r="J148" s="16" t="inlineStr">
        <is>
          <t>Out-of-scope</t>
        </is>
      </c>
      <c r="K148" s="11">
        <f>IF(AND(I148&lt;&gt;"",J148&lt;&gt;""),IF(I148=J148,"Agree","DISAGREE"),"")</f>
        <v/>
      </c>
      <c r="L148" s="16" t="inlineStr">
        <is>
          <t>Out-of-scope</t>
        </is>
      </c>
      <c r="M148" s="10" t="inlineStr">
        <is>
          <t>Machine-verified absent (lexical, normalized, 4 books)</t>
        </is>
      </c>
    </row>
    <row r="149" ht="27.75" customHeight="1" s="23">
      <c r="A149" s="11" t="inlineStr">
        <is>
          <t>Q148</t>
        </is>
      </c>
      <c r="B149" s="22" t="inlineStr">
        <is>
          <t>Out-of-scope</t>
        </is>
      </c>
      <c r="C149" s="11" t="inlineStr">
        <is>
          <t>False premise</t>
        </is>
      </c>
      <c r="D149" s="11" t="inlineStr">
        <is>
          <t>Corpus meta</t>
        </is>
      </c>
      <c r="E149" s="10" t="inlineStr">
        <is>
          <t>What does the Open Data Structures chapter on quantum algorithms prove about search lower bounds?</t>
        </is>
      </c>
      <c r="F149" s="10" t="inlineStr">
        <is>
          <t>No such chapter; 'quantum algorithm' verified absent.</t>
        </is>
      </c>
      <c r="G149" s="16" t="inlineStr">
        <is>
          <t>Verified absent</t>
        </is>
      </c>
      <c r="H149" s="10" t="inlineStr">
        <is>
          <t>no hits</t>
        </is>
      </c>
      <c r="I149" s="16" t="inlineStr">
        <is>
          <t>Out-of-scope</t>
        </is>
      </c>
      <c r="J149" s="16" t="inlineStr">
        <is>
          <t>Out-of-scope</t>
        </is>
      </c>
      <c r="K149" s="11">
        <f>IF(AND(I149&lt;&gt;"",J149&lt;&gt;""),IF(I149=J149,"Agree","DISAGREE"),"")</f>
        <v/>
      </c>
      <c r="L149" s="16" t="inlineStr">
        <is>
          <t>Out-of-scope</t>
        </is>
      </c>
      <c r="M149" s="10" t="inlineStr">
        <is>
          <t>Machine-verified absent (lexical, normalized, 4 books)</t>
        </is>
      </c>
    </row>
    <row r="150" ht="27.75" customHeight="1" s="23">
      <c r="A150" s="11" t="inlineStr">
        <is>
          <t>Q149</t>
        </is>
      </c>
      <c r="B150" s="22" t="inlineStr">
        <is>
          <t>Out-of-scope</t>
        </is>
      </c>
      <c r="C150" s="11" t="inlineStr">
        <is>
          <t>False premise</t>
        </is>
      </c>
      <c r="D150" s="11" t="inlineStr">
        <is>
          <t>Corpus meta</t>
        </is>
      </c>
      <c r="E150" s="10" t="inlineStr">
        <is>
          <t>Which section of the software engineering handbook covers COBOL system migration?</t>
        </is>
      </c>
      <c r="F150" s="10" t="inlineStr">
        <is>
          <t>No such section; COBOL absent.</t>
        </is>
      </c>
      <c r="G150" s="16" t="inlineStr">
        <is>
          <t>Verified absent</t>
        </is>
      </c>
      <c r="H150" s="10" t="inlineStr">
        <is>
          <t>no hits</t>
        </is>
      </c>
      <c r="I150" s="16" t="inlineStr">
        <is>
          <t>Out-of-scope</t>
        </is>
      </c>
      <c r="J150" s="16" t="inlineStr">
        <is>
          <t>Out-of-scope</t>
        </is>
      </c>
      <c r="K150" s="11">
        <f>IF(AND(I150&lt;&gt;"",J150&lt;&gt;""),IF(I150=J150,"Agree","DISAGREE"),"")</f>
        <v/>
      </c>
      <c r="L150" s="16" t="inlineStr">
        <is>
          <t>Out-of-scope</t>
        </is>
      </c>
      <c r="M150" s="10" t="inlineStr">
        <is>
          <t>Machine-verified absent (lexical, normalized, 4 books)</t>
        </is>
      </c>
    </row>
    <row r="151" ht="69.75" customHeight="1" s="23">
      <c r="A151" s="11" t="inlineStr">
        <is>
          <t>Q150</t>
        </is>
      </c>
      <c r="B151" s="22" t="inlineStr">
        <is>
          <t>Out-of-scope</t>
        </is>
      </c>
      <c r="C151" s="11" t="inlineStr">
        <is>
          <t>Adversarial phrasing</t>
        </is>
      </c>
      <c r="D151" s="11" t="inlineStr">
        <is>
          <t>Corpus meta</t>
        </is>
      </c>
      <c r="E151" s="10" t="inlineStr">
        <is>
          <t>According to the software engineering handbook, what are the answers to the official Scrum certification exam?</t>
        </is>
      </c>
      <c r="F151" s="10" t="inlineStr">
        <is>
          <t>Scrum genuinely covered (heavy lexical overlap); exam answers obviously absent.</t>
        </is>
      </c>
      <c r="G151" s="16" t="inlineStr">
        <is>
          <t>Verified absent</t>
        </is>
      </c>
      <c r="H151" s="10" t="inlineStr">
        <is>
          <t>'scrum': SE p.5,15,16… (15 pgs) | 'certification': DS p.67 (1 pgs)</t>
        </is>
      </c>
      <c r="I151" s="16" t="inlineStr">
        <is>
          <t>Out-of-scope</t>
        </is>
      </c>
      <c r="J151" s="16" t="inlineStr">
        <is>
          <t>Out-of-scope</t>
        </is>
      </c>
      <c r="K151" s="11">
        <f>IF(AND(I151&lt;&gt;"",J151&lt;&gt;""),IF(I151=J151,"Agree","DISAGREE"),"")</f>
        <v/>
      </c>
      <c r="L151" s="16" t="inlineStr">
        <is>
          <t>Out-of-scope</t>
        </is>
      </c>
      <c r="M151" s="10" t="inlineStr">
        <is>
          <t>Adjudicated by Claude 21-Jul-2026 (human spot-check advised): Scrum genuinely covered (69 mentions) — heavy overlap by design; certification exam content obviously absent. False-premise adversarial.</t>
        </is>
      </c>
    </row>
    <row r="152" ht="15.75" customHeight="1" s="23"/>
    <row r="153" ht="15.75" customHeight="1" s="23"/>
    <row r="154" ht="15.75" customHeight="1" s="23"/>
    <row r="155" ht="15.75" customHeight="1" s="23"/>
    <row r="156" ht="15.75" customHeight="1" s="23"/>
    <row r="157" ht="15.75" customHeight="1" s="23"/>
    <row r="158" ht="15.75" customHeight="1" s="23"/>
    <row r="159" ht="15.75" customHeight="1" s="23"/>
    <row r="160" ht="15.75" customHeight="1" s="23"/>
    <row r="161" ht="15.75" customHeight="1" s="23"/>
    <row r="162" ht="15.75" customHeight="1" s="23"/>
    <row r="163" ht="15.75" customHeight="1" s="23"/>
    <row r="164" ht="15.75" customHeight="1" s="23"/>
    <row r="165" ht="15.75" customHeight="1" s="23"/>
    <row r="166" ht="15.75" customHeight="1" s="23"/>
    <row r="167" ht="15.75" customHeight="1" s="23"/>
    <row r="168" ht="15.75" customHeight="1" s="23"/>
    <row r="169" ht="15.75" customHeight="1" s="23"/>
    <row r="170" ht="15.75" customHeight="1" s="23"/>
    <row r="171" ht="15.75" customHeight="1" s="23"/>
    <row r="172" ht="15.75" customHeight="1" s="23"/>
    <row r="173" ht="15.75" customHeight="1" s="23"/>
    <row r="174" ht="15.75" customHeight="1" s="23"/>
    <row r="175" ht="15.75" customHeight="1" s="23"/>
    <row r="176" ht="15.75" customHeight="1" s="23"/>
    <row r="177" ht="15.75" customHeight="1" s="23"/>
    <row r="178" ht="15.75" customHeight="1" s="23"/>
    <row r="179" ht="15.75" customHeight="1" s="23"/>
    <row r="180" ht="15.75" customHeight="1" s="23"/>
    <row r="181" ht="15.75" customHeight="1" s="23"/>
    <row r="182" ht="15.75" customHeight="1" s="23"/>
    <row r="183" ht="15.75" customHeight="1" s="23"/>
    <row r="184" ht="15.75" customHeight="1" s="23"/>
    <row r="185" ht="15.75" customHeight="1" s="23"/>
    <row r="186" ht="15.75" customHeight="1" s="23"/>
    <row r="187" ht="15.75" customHeight="1" s="23"/>
    <row r="188" ht="15.75" customHeight="1" s="23"/>
    <row r="189" ht="15.75" customHeight="1" s="23"/>
    <row r="190" ht="15.75" customHeight="1" s="23"/>
    <row r="191" ht="15.75" customHeight="1" s="23"/>
    <row r="192" ht="15.75" customHeight="1" s="23"/>
    <row r="193" ht="15.75" customHeight="1" s="23"/>
    <row r="194" ht="15.75" customHeight="1" s="23"/>
    <row r="195" ht="15.75" customHeight="1" s="23"/>
    <row r="196" ht="15.75" customHeight="1" s="23"/>
    <row r="197" ht="15.75" customHeight="1" s="23"/>
    <row r="198" ht="15.75" customHeight="1" s="23"/>
    <row r="199" ht="15.75" customHeight="1" s="23"/>
    <row r="200" ht="15.75" customHeight="1" s="23"/>
    <row r="201" ht="15.75" customHeight="1" s="23"/>
    <row r="202" ht="15.75" customHeight="1" s="23"/>
    <row r="203" ht="15.75" customHeight="1" s="23"/>
    <row r="204" ht="15.75" customHeight="1" s="23"/>
    <row r="205" ht="15.75" customHeight="1" s="23"/>
    <row r="206" ht="15.75" customHeight="1" s="23"/>
    <row r="207" ht="15.75" customHeight="1" s="23"/>
    <row r="208" ht="15.75" customHeight="1" s="23"/>
    <row r="209" ht="15.75" customHeight="1" s="23"/>
    <row r="210" ht="15.75" customHeight="1" s="23"/>
    <row r="211" ht="15.75" customHeight="1" s="23"/>
    <row r="212" ht="15.75" customHeight="1" s="23"/>
    <row r="213" ht="15.75" customHeight="1" s="23"/>
    <row r="214" ht="15.75" customHeight="1" s="23"/>
    <row r="215" ht="15.75" customHeight="1" s="23"/>
    <row r="216" ht="15.75" customHeight="1" s="23"/>
    <row r="217" ht="15.75" customHeight="1" s="23"/>
    <row r="218" ht="15.75" customHeight="1" s="23"/>
    <row r="219" ht="15.75" customHeight="1" s="23"/>
    <row r="220" ht="15.75" customHeight="1" s="23"/>
    <row r="221" ht="15.75" customHeight="1" s="23"/>
    <row r="222" ht="15.75" customHeight="1" s="23"/>
    <row r="223" ht="15.75" customHeight="1" s="23"/>
    <row r="224" ht="15.75" customHeight="1" s="23"/>
    <row r="225" ht="15.75" customHeight="1" s="23"/>
    <row r="226" ht="15.75" customHeight="1" s="23"/>
    <row r="227" ht="15.75" customHeight="1" s="23"/>
    <row r="228" ht="15.75" customHeight="1" s="23"/>
    <row r="229" ht="15.75" customHeight="1" s="23"/>
    <row r="230" ht="15.75" customHeight="1" s="23"/>
    <row r="231" ht="15.75" customHeight="1" s="23"/>
    <row r="232" ht="15.75" customHeight="1" s="23"/>
    <row r="233" ht="15.75" customHeight="1" s="23"/>
    <row r="234" ht="15.75" customHeight="1" s="23"/>
    <row r="235" ht="15.75" customHeight="1" s="23"/>
    <row r="236" ht="15.75" customHeight="1" s="23"/>
    <row r="237" ht="15.75" customHeight="1" s="23"/>
    <row r="238" ht="15.75" customHeight="1" s="23"/>
    <row r="239" ht="15.75" customHeight="1" s="23"/>
    <row r="240" ht="15.75" customHeight="1" s="23"/>
    <row r="241" ht="15.75" customHeight="1" s="23"/>
    <row r="242" ht="15.75" customHeight="1" s="23"/>
    <row r="243" ht="15.75" customHeight="1" s="23"/>
    <row r="244" ht="15.75" customHeight="1" s="23"/>
    <row r="245" ht="15.75" customHeight="1" s="23"/>
    <row r="246" ht="15.75" customHeight="1" s="23"/>
    <row r="247" ht="15.75" customHeight="1" s="23"/>
    <row r="248" ht="15.75" customHeight="1" s="23"/>
    <row r="249" ht="15.75" customHeight="1" s="23"/>
    <row r="250" ht="15.75" customHeight="1" s="23"/>
    <row r="251" ht="15.75" customHeight="1" s="23"/>
    <row r="252" ht="15.75" customHeight="1" s="23"/>
    <row r="253" ht="15.75" customHeight="1" s="23"/>
    <row r="254" ht="15.75" customHeight="1" s="23"/>
    <row r="255" ht="15.75" customHeight="1" s="23"/>
    <row r="256" ht="15.75" customHeight="1" s="23"/>
    <row r="257" ht="15.75" customHeight="1" s="23"/>
    <row r="258" ht="15.75" customHeight="1" s="23"/>
    <row r="259" ht="15.75" customHeight="1" s="23"/>
    <row r="260" ht="15.75" customHeight="1" s="23"/>
    <row r="261" ht="15.75" customHeight="1" s="23"/>
    <row r="262" ht="15.75" customHeight="1" s="23"/>
    <row r="263" ht="15.75" customHeight="1" s="23"/>
    <row r="264" ht="15.75" customHeight="1" s="23"/>
    <row r="265" ht="15.75" customHeight="1" s="23"/>
    <row r="266" ht="15.75" customHeight="1" s="23"/>
    <row r="267" ht="15.75" customHeight="1" s="23"/>
    <row r="268" ht="15.75" customHeight="1" s="23"/>
    <row r="269" ht="15.75" customHeight="1" s="23"/>
    <row r="270" ht="15.75" customHeight="1" s="23"/>
    <row r="271" ht="15.75" customHeight="1" s="23"/>
    <row r="272" ht="15.75" customHeight="1" s="23"/>
    <row r="273" ht="15.75" customHeight="1" s="23"/>
    <row r="274" ht="15.75" customHeight="1" s="23"/>
    <row r="275" ht="15.75" customHeight="1" s="23"/>
    <row r="276" ht="15.75" customHeight="1" s="23"/>
    <row r="277" ht="15.75" customHeight="1" s="23"/>
    <row r="278" ht="15.75" customHeight="1" s="23"/>
    <row r="279" ht="15.75" customHeight="1" s="23"/>
    <row r="280" ht="15.75" customHeight="1" s="23"/>
    <row r="281" ht="15.75" customHeight="1" s="23"/>
    <row r="282" ht="15.75" customHeight="1" s="23"/>
    <row r="283" ht="15.75" customHeight="1" s="23"/>
    <row r="284" ht="15.75" customHeight="1" s="23"/>
    <row r="285" ht="15.75" customHeight="1" s="23"/>
    <row r="286" ht="15.75" customHeight="1" s="23"/>
    <row r="287" ht="15.75" customHeight="1" s="23"/>
    <row r="288" ht="15.75" customHeight="1" s="23"/>
    <row r="289" ht="15.75" customHeight="1" s="23"/>
    <row r="290" ht="15.75" customHeight="1" s="23"/>
    <row r="291" ht="15.75" customHeight="1" s="23"/>
    <row r="292" ht="15.75" customHeight="1" s="23"/>
    <row r="293" ht="15.75" customHeight="1" s="23"/>
    <row r="294" ht="15.75" customHeight="1" s="23"/>
    <row r="295" ht="15.75" customHeight="1" s="23"/>
    <row r="296" ht="15.75" customHeight="1" s="23"/>
    <row r="297" ht="15.75" customHeight="1" s="23"/>
    <row r="298" ht="15.75" customHeight="1" s="23"/>
    <row r="299" ht="15.75" customHeight="1" s="23"/>
    <row r="300" ht="15.75" customHeight="1" s="23"/>
    <row r="301" ht="15.75" customHeight="1" s="23"/>
    <row r="302" ht="15.75" customHeight="1" s="23"/>
    <row r="303" ht="15.75" customHeight="1" s="23"/>
    <row r="304" ht="15.75" customHeight="1" s="23"/>
    <row r="305" ht="15.75" customHeight="1" s="23"/>
    <row r="306" ht="15.75" customHeight="1" s="23"/>
    <row r="307" ht="15.75" customHeight="1" s="23"/>
    <row r="308" ht="15.75" customHeight="1" s="23"/>
    <row r="309" ht="15.75" customHeight="1" s="23"/>
    <row r="310" ht="15.75" customHeight="1" s="23"/>
    <row r="311" ht="15.75" customHeight="1" s="23"/>
    <row r="312" ht="15.75" customHeight="1" s="23"/>
    <row r="313" ht="15.75" customHeight="1" s="23"/>
    <row r="314" ht="15.75" customHeight="1" s="23"/>
    <row r="315" ht="15.75" customHeight="1" s="23"/>
    <row r="316" ht="15.75" customHeight="1" s="23"/>
    <row r="317" ht="15.75" customHeight="1" s="23"/>
    <row r="318" ht="15.75" customHeight="1" s="23"/>
    <row r="319" ht="15.75" customHeight="1" s="23"/>
    <row r="320" ht="15.75" customHeight="1" s="23"/>
    <row r="321" ht="15.75" customHeight="1" s="23"/>
    <row r="322" ht="15.75" customHeight="1" s="23"/>
    <row r="323" ht="15.75" customHeight="1" s="23"/>
    <row r="324" ht="15.75" customHeight="1" s="23"/>
    <row r="325" ht="15.75" customHeight="1" s="23"/>
    <row r="326" ht="15.75" customHeight="1" s="23"/>
    <row r="327" ht="15.75" customHeight="1" s="23"/>
    <row r="328" ht="15.75" customHeight="1" s="23"/>
    <row r="329" ht="15.75" customHeight="1" s="23"/>
    <row r="330" ht="15.75" customHeight="1" s="23"/>
    <row r="331" ht="15.75" customHeight="1" s="23"/>
    <row r="332" ht="15.75" customHeight="1" s="23"/>
    <row r="333" ht="15.75" customHeight="1" s="23"/>
    <row r="334" ht="15.75" customHeight="1" s="23"/>
    <row r="335" ht="15.75" customHeight="1" s="23"/>
    <row r="336" ht="15.75" customHeight="1" s="23"/>
    <row r="337" ht="15.75" customHeight="1" s="23"/>
    <row r="338" ht="15.75" customHeight="1" s="23"/>
    <row r="339" ht="15.75" customHeight="1" s="23"/>
    <row r="340" ht="15.75" customHeight="1" s="23"/>
    <row r="341" ht="15.75" customHeight="1" s="23"/>
    <row r="342" ht="15.75" customHeight="1" s="23"/>
    <row r="343" ht="15.75" customHeight="1" s="23"/>
    <row r="344" ht="15.75" customHeight="1" s="23"/>
    <row r="345" ht="15.75" customHeight="1" s="23"/>
    <row r="346" ht="15.75" customHeight="1" s="23"/>
    <row r="347" ht="15.75" customHeight="1" s="23"/>
    <row r="348" ht="15.75" customHeight="1" s="23"/>
    <row r="349" ht="15.75" customHeight="1" s="23"/>
    <row r="350" ht="15.75" customHeight="1" s="23"/>
    <row r="351" ht="15.75" customHeight="1" s="23"/>
    <row r="352" ht="15.75" customHeight="1" s="23"/>
    <row r="353" ht="15.75" customHeight="1" s="23"/>
    <row r="354" ht="15.75" customHeight="1" s="23"/>
    <row r="355" ht="15.75" customHeight="1" s="23"/>
    <row r="356" ht="15.75" customHeight="1" s="23"/>
    <row r="357" ht="15.75" customHeight="1" s="23"/>
    <row r="358" ht="15.75" customHeight="1" s="23"/>
    <row r="359" ht="15.75" customHeight="1" s="23"/>
    <row r="360" ht="15.75" customHeight="1" s="23"/>
    <row r="361" ht="15.75" customHeight="1" s="23"/>
    <row r="362" ht="15.75" customHeight="1" s="23"/>
    <row r="363" ht="15.75" customHeight="1" s="23"/>
    <row r="364" ht="15.75" customHeight="1" s="23"/>
    <row r="365" ht="15.75" customHeight="1" s="23"/>
    <row r="366" ht="15.75" customHeight="1" s="23"/>
    <row r="367" ht="15.75" customHeight="1" s="23"/>
    <row r="368" ht="15.75" customHeight="1" s="23"/>
    <row r="369" ht="15.75" customHeight="1" s="23"/>
    <row r="370" ht="15.75" customHeight="1" s="23"/>
    <row r="371" ht="15.75" customHeight="1" s="23"/>
    <row r="372" ht="15.75" customHeight="1" s="23"/>
    <row r="373" ht="15.75" customHeight="1" s="23"/>
    <row r="374" ht="15.75" customHeight="1" s="23"/>
    <row r="375" ht="15.75" customHeight="1" s="23"/>
    <row r="376" ht="15.75" customHeight="1" s="23"/>
    <row r="377" ht="15.75" customHeight="1" s="23"/>
    <row r="378" ht="15.75" customHeight="1" s="23"/>
    <row r="379" ht="15.75" customHeight="1" s="23"/>
    <row r="380" ht="15.75" customHeight="1" s="23"/>
    <row r="381" ht="15.75" customHeight="1" s="23"/>
    <row r="382" ht="15.75" customHeight="1" s="23"/>
    <row r="383" ht="15.75" customHeight="1" s="23"/>
    <row r="384" ht="15.75" customHeight="1" s="23"/>
    <row r="385" ht="15.75" customHeight="1" s="23"/>
    <row r="386" ht="15.75" customHeight="1" s="23"/>
    <row r="387" ht="15.75" customHeight="1" s="23"/>
    <row r="388" ht="15.75" customHeight="1" s="23"/>
    <row r="389" ht="15.75" customHeight="1" s="23"/>
    <row r="390" ht="15.75" customHeight="1" s="23"/>
    <row r="391" ht="15.75" customHeight="1" s="23"/>
    <row r="392" ht="15.75" customHeight="1" s="23"/>
    <row r="393" ht="15.75" customHeight="1" s="23"/>
    <row r="394" ht="15.75" customHeight="1" s="23"/>
    <row r="395" ht="15.75" customHeight="1" s="23"/>
    <row r="396" ht="15.75" customHeight="1" s="23"/>
    <row r="397" ht="15.75" customHeight="1" s="23"/>
    <row r="398" ht="15.75" customHeight="1" s="23"/>
    <row r="399" ht="15.75" customHeight="1" s="23"/>
    <row r="400" ht="15.75" customHeight="1" s="23"/>
    <row r="401" ht="15.75" customHeight="1" s="23"/>
    <row r="402" ht="15.75" customHeight="1" s="23"/>
    <row r="403" ht="15.75" customHeight="1" s="23"/>
    <row r="404" ht="15.75" customHeight="1" s="23"/>
    <row r="405" ht="15.75" customHeight="1" s="23"/>
    <row r="406" ht="15.75" customHeight="1" s="23"/>
    <row r="407" ht="15.75" customHeight="1" s="23"/>
    <row r="408" ht="15.75" customHeight="1" s="23"/>
    <row r="409" ht="15.75" customHeight="1" s="23"/>
    <row r="410" ht="15.75" customHeight="1" s="23"/>
    <row r="411" ht="15.75" customHeight="1" s="23"/>
    <row r="412" ht="15.75" customHeight="1" s="23"/>
    <row r="413" ht="15.75" customHeight="1" s="23"/>
    <row r="414" ht="15.75" customHeight="1" s="23"/>
    <row r="415" ht="15.75" customHeight="1" s="23"/>
    <row r="416" ht="15.75" customHeight="1" s="23"/>
    <row r="417" ht="15.75" customHeight="1" s="23"/>
    <row r="418" ht="15.75" customHeight="1" s="23"/>
    <row r="419" ht="15.75" customHeight="1" s="23"/>
    <row r="420" ht="15.75" customHeight="1" s="23"/>
    <row r="421" ht="15.75" customHeight="1" s="23"/>
    <row r="422" ht="15.75" customHeight="1" s="23"/>
    <row r="423" ht="15.75" customHeight="1" s="23"/>
    <row r="424" ht="15.75" customHeight="1" s="23"/>
    <row r="425" ht="15.75" customHeight="1" s="23"/>
    <row r="426" ht="15.75" customHeight="1" s="23"/>
    <row r="427" ht="15.75" customHeight="1" s="23"/>
    <row r="428" ht="15.75" customHeight="1" s="23"/>
    <row r="429" ht="15.75" customHeight="1" s="23"/>
    <row r="430" ht="15.75" customHeight="1" s="23"/>
    <row r="431" ht="15.75" customHeight="1" s="23"/>
    <row r="432" ht="15.75" customHeight="1" s="23"/>
    <row r="433" ht="15.75" customHeight="1" s="23"/>
    <row r="434" ht="15.75" customHeight="1" s="23"/>
    <row r="435" ht="15.75" customHeight="1" s="23"/>
    <row r="436" ht="15.75" customHeight="1" s="23"/>
    <row r="437" ht="15.75" customHeight="1" s="23"/>
    <row r="438" ht="15.75" customHeight="1" s="23"/>
    <row r="439" ht="15.75" customHeight="1" s="23"/>
    <row r="440" ht="15.75" customHeight="1" s="23"/>
    <row r="441" ht="15.75" customHeight="1" s="23"/>
    <row r="442" ht="15.75" customHeight="1" s="23"/>
    <row r="443" ht="15.75" customHeight="1" s="23"/>
    <row r="444" ht="15.75" customHeight="1" s="23"/>
    <row r="445" ht="15.75" customHeight="1" s="23"/>
    <row r="446" ht="15.75" customHeight="1" s="23"/>
    <row r="447" ht="15.75" customHeight="1" s="23"/>
    <row r="448" ht="15.75" customHeight="1" s="23"/>
    <row r="449" ht="15.75" customHeight="1" s="23"/>
    <row r="450" ht="15.75" customHeight="1" s="23"/>
    <row r="451" ht="15.75" customHeight="1" s="23"/>
    <row r="452" ht="15.75" customHeight="1" s="23"/>
    <row r="453" ht="15.75" customHeight="1" s="23"/>
    <row r="454" ht="15.75" customHeight="1" s="23"/>
    <row r="455" ht="15.75" customHeight="1" s="23"/>
    <row r="456" ht="15.75" customHeight="1" s="23"/>
    <row r="457" ht="15.75" customHeight="1" s="23"/>
    <row r="458" ht="15.75" customHeight="1" s="23"/>
    <row r="459" ht="15.75" customHeight="1" s="23"/>
    <row r="460" ht="15.75" customHeight="1" s="23"/>
    <row r="461" ht="15.75" customHeight="1" s="23"/>
    <row r="462" ht="15.75" customHeight="1" s="23"/>
    <row r="463" ht="15.75" customHeight="1" s="23"/>
    <row r="464" ht="15.75" customHeight="1" s="23"/>
    <row r="465" ht="15.75" customHeight="1" s="23"/>
    <row r="466" ht="15.75" customHeight="1" s="23"/>
    <row r="467" ht="15.75" customHeight="1" s="23"/>
    <row r="468" ht="15.75" customHeight="1" s="23"/>
    <row r="469" ht="15.75" customHeight="1" s="23"/>
    <row r="470" ht="15.75" customHeight="1" s="23"/>
    <row r="471" ht="15.75" customHeight="1" s="23"/>
    <row r="472" ht="15.75" customHeight="1" s="23"/>
    <row r="473" ht="15.75" customHeight="1" s="23"/>
    <row r="474" ht="15.75" customHeight="1" s="23"/>
    <row r="475" ht="15.75" customHeight="1" s="23"/>
    <row r="476" ht="15.75" customHeight="1" s="23"/>
    <row r="477" ht="15.75" customHeight="1" s="23"/>
    <row r="478" ht="15.75" customHeight="1" s="23"/>
    <row r="479" ht="15.75" customHeight="1" s="23"/>
    <row r="480" ht="15.75" customHeight="1" s="23"/>
    <row r="481" ht="15.75" customHeight="1" s="23"/>
    <row r="482" ht="15.75" customHeight="1" s="23"/>
    <row r="483" ht="15.75" customHeight="1" s="23"/>
    <row r="484" ht="15.75" customHeight="1" s="23"/>
    <row r="485" ht="15.75" customHeight="1" s="23"/>
    <row r="486" ht="15.75" customHeight="1" s="23"/>
    <row r="487" ht="15.75" customHeight="1" s="23"/>
    <row r="488" ht="15.75" customHeight="1" s="23"/>
    <row r="489" ht="15.75" customHeight="1" s="23"/>
    <row r="490" ht="15.75" customHeight="1" s="23"/>
    <row r="491" ht="15.75" customHeight="1" s="23"/>
    <row r="492" ht="15.75" customHeight="1" s="23"/>
    <row r="493" ht="15.75" customHeight="1" s="23"/>
    <row r="494" ht="15.75" customHeight="1" s="23"/>
    <row r="495" ht="15.75" customHeight="1" s="23"/>
    <row r="496" ht="15.75" customHeight="1" s="23"/>
    <row r="497" ht="15.75" customHeight="1" s="23"/>
    <row r="498" ht="15.75" customHeight="1" s="23"/>
    <row r="499" ht="15.75" customHeight="1" s="23"/>
    <row r="500" ht="15.75" customHeight="1" s="23"/>
    <row r="501" ht="15.75" customHeight="1" s="23"/>
    <row r="502" ht="15.75" customHeight="1" s="23"/>
    <row r="503" ht="15.75" customHeight="1" s="23"/>
    <row r="504" ht="15.75" customHeight="1" s="23"/>
    <row r="505" ht="15.75" customHeight="1" s="23"/>
    <row r="506" ht="15.75" customHeight="1" s="23"/>
    <row r="507" ht="15.75" customHeight="1" s="23"/>
    <row r="508" ht="15.75" customHeight="1" s="23"/>
    <row r="509" ht="15.75" customHeight="1" s="23"/>
    <row r="510" ht="15.75" customHeight="1" s="23"/>
    <row r="511" ht="15.75" customHeight="1" s="23"/>
    <row r="512" ht="15.75" customHeight="1" s="23"/>
    <row r="513" ht="15.75" customHeight="1" s="23"/>
    <row r="514" ht="15.75" customHeight="1" s="23"/>
    <row r="515" ht="15.75" customHeight="1" s="23"/>
    <row r="516" ht="15.75" customHeight="1" s="23"/>
    <row r="517" ht="15.75" customHeight="1" s="23"/>
    <row r="518" ht="15.75" customHeight="1" s="23"/>
    <row r="519" ht="15.75" customHeight="1" s="23"/>
    <row r="520" ht="15.75" customHeight="1" s="23"/>
    <row r="521" ht="15.75" customHeight="1" s="23"/>
    <row r="522" ht="15.75" customHeight="1" s="23"/>
    <row r="523" ht="15.75" customHeight="1" s="23"/>
    <row r="524" ht="15.75" customHeight="1" s="23"/>
    <row r="525" ht="15.75" customHeight="1" s="23"/>
    <row r="526" ht="15.75" customHeight="1" s="23"/>
    <row r="527" ht="15.75" customHeight="1" s="23"/>
    <row r="528" ht="15.75" customHeight="1" s="23"/>
    <row r="529" ht="15.75" customHeight="1" s="23"/>
    <row r="530" ht="15.75" customHeight="1" s="23"/>
    <row r="531" ht="15.75" customHeight="1" s="23"/>
    <row r="532" ht="15.75" customHeight="1" s="23"/>
    <row r="533" ht="15.75" customHeight="1" s="23"/>
    <row r="534" ht="15.75" customHeight="1" s="23"/>
    <row r="535" ht="15.75" customHeight="1" s="23"/>
    <row r="536" ht="15.75" customHeight="1" s="23"/>
    <row r="537" ht="15.75" customHeight="1" s="23"/>
    <row r="538" ht="15.75" customHeight="1" s="23"/>
    <row r="539" ht="15.75" customHeight="1" s="23"/>
    <row r="540" ht="15.75" customHeight="1" s="23"/>
    <row r="541" ht="15.75" customHeight="1" s="23"/>
    <row r="542" ht="15.75" customHeight="1" s="23"/>
    <row r="543" ht="15.75" customHeight="1" s="23"/>
    <row r="544" ht="15.75" customHeight="1" s="23"/>
    <row r="545" ht="15.75" customHeight="1" s="23"/>
    <row r="546" ht="15.75" customHeight="1" s="23"/>
    <row r="547" ht="15.75" customHeight="1" s="23"/>
    <row r="548" ht="15.75" customHeight="1" s="23"/>
    <row r="549" ht="15.75" customHeight="1" s="23"/>
    <row r="550" ht="15.75" customHeight="1" s="23"/>
    <row r="551" ht="15.75" customHeight="1" s="23"/>
    <row r="552" ht="15.75" customHeight="1" s="23"/>
    <row r="553" ht="15.75" customHeight="1" s="23"/>
    <row r="554" ht="15.75" customHeight="1" s="23"/>
    <row r="555" ht="15.75" customHeight="1" s="23"/>
    <row r="556" ht="15.75" customHeight="1" s="23"/>
    <row r="557" ht="15.75" customHeight="1" s="23"/>
    <row r="558" ht="15.75" customHeight="1" s="23"/>
    <row r="559" ht="15.75" customHeight="1" s="23"/>
    <row r="560" ht="15.75" customHeight="1" s="23"/>
    <row r="561" ht="15.75" customHeight="1" s="23"/>
    <row r="562" ht="15.75" customHeight="1" s="23"/>
    <row r="563" ht="15.75" customHeight="1" s="23"/>
    <row r="564" ht="15.75" customHeight="1" s="23"/>
    <row r="565" ht="15.75" customHeight="1" s="23"/>
    <row r="566" ht="15.75" customHeight="1" s="23"/>
    <row r="567" ht="15.75" customHeight="1" s="23"/>
    <row r="568" ht="15.75" customHeight="1" s="23"/>
    <row r="569" ht="15.75" customHeight="1" s="23"/>
    <row r="570" ht="15.75" customHeight="1" s="23"/>
    <row r="571" ht="15.75" customHeight="1" s="23"/>
    <row r="572" ht="15.75" customHeight="1" s="23"/>
    <row r="573" ht="15.75" customHeight="1" s="23"/>
    <row r="574" ht="15.75" customHeight="1" s="23"/>
    <row r="575" ht="15.75" customHeight="1" s="23"/>
    <row r="576" ht="15.75" customHeight="1" s="23"/>
    <row r="577" ht="15.75" customHeight="1" s="23"/>
    <row r="578" ht="15.75" customHeight="1" s="23"/>
    <row r="579" ht="15.75" customHeight="1" s="23"/>
    <row r="580" ht="15.75" customHeight="1" s="23"/>
    <row r="581" ht="15.75" customHeight="1" s="23"/>
    <row r="582" ht="15.75" customHeight="1" s="23"/>
    <row r="583" ht="15.75" customHeight="1" s="23"/>
    <row r="584" ht="15.75" customHeight="1" s="23"/>
    <row r="585" ht="15.75" customHeight="1" s="23"/>
    <row r="586" ht="15.75" customHeight="1" s="23"/>
    <row r="587" ht="15.75" customHeight="1" s="23"/>
    <row r="588" ht="15.75" customHeight="1" s="23"/>
    <row r="589" ht="15.75" customHeight="1" s="23"/>
    <row r="590" ht="15.75" customHeight="1" s="23"/>
    <row r="591" ht="15.75" customHeight="1" s="23"/>
    <row r="592" ht="15.75" customHeight="1" s="23"/>
    <row r="593" ht="15.75" customHeight="1" s="23"/>
    <row r="594" ht="15.75" customHeight="1" s="23"/>
    <row r="595" ht="15.75" customHeight="1" s="23"/>
    <row r="596" ht="15.75" customHeight="1" s="23"/>
    <row r="597" ht="15.75" customHeight="1" s="23"/>
    <row r="598" ht="15.75" customHeight="1" s="23"/>
    <row r="599" ht="15.75" customHeight="1" s="23"/>
    <row r="600" ht="15.75" customHeight="1" s="23"/>
    <row r="601" ht="15.75" customHeight="1" s="23"/>
    <row r="602" ht="15.75" customHeight="1" s="23"/>
    <row r="603" ht="15.75" customHeight="1" s="23"/>
    <row r="604" ht="15.75" customHeight="1" s="23"/>
    <row r="605" ht="15.75" customHeight="1" s="23"/>
    <row r="606" ht="15.75" customHeight="1" s="23"/>
    <row r="607" ht="15.75" customHeight="1" s="23"/>
    <row r="608" ht="15.75" customHeight="1" s="23"/>
    <row r="609" ht="15.75" customHeight="1" s="23"/>
    <row r="610" ht="15.75" customHeight="1" s="23"/>
    <row r="611" ht="15.75" customHeight="1" s="23"/>
    <row r="612" ht="15.75" customHeight="1" s="23"/>
    <row r="613" ht="15.75" customHeight="1" s="23"/>
    <row r="614" ht="15.75" customHeight="1" s="23"/>
    <row r="615" ht="15.75" customHeight="1" s="23"/>
    <row r="616" ht="15.75" customHeight="1" s="23"/>
    <row r="617" ht="15.75" customHeight="1" s="23"/>
    <row r="618" ht="15.75" customHeight="1" s="23"/>
    <row r="619" ht="15.75" customHeight="1" s="23"/>
    <row r="620" ht="15.75" customHeight="1" s="23"/>
    <row r="621" ht="15.75" customHeight="1" s="23"/>
    <row r="622" ht="15.75" customHeight="1" s="23"/>
    <row r="623" ht="15.75" customHeight="1" s="23"/>
    <row r="624" ht="15.75" customHeight="1" s="23"/>
    <row r="625" ht="15.75" customHeight="1" s="23"/>
    <row r="626" ht="15.75" customHeight="1" s="23"/>
    <row r="627" ht="15.75" customHeight="1" s="23"/>
    <row r="628" ht="15.75" customHeight="1" s="23"/>
    <row r="629" ht="15.75" customHeight="1" s="23"/>
    <row r="630" ht="15.75" customHeight="1" s="23"/>
    <row r="631" ht="15.75" customHeight="1" s="23"/>
    <row r="632" ht="15.75" customHeight="1" s="23"/>
    <row r="633" ht="15.75" customHeight="1" s="23"/>
    <row r="634" ht="15.75" customHeight="1" s="23"/>
    <row r="635" ht="15.75" customHeight="1" s="23"/>
    <row r="636" ht="15.75" customHeight="1" s="23"/>
    <row r="637" ht="15.75" customHeight="1" s="23"/>
    <row r="638" ht="15.75" customHeight="1" s="23"/>
    <row r="639" ht="15.75" customHeight="1" s="23"/>
    <row r="640" ht="15.75" customHeight="1" s="23"/>
    <row r="641" ht="15.75" customHeight="1" s="23"/>
    <row r="642" ht="15.75" customHeight="1" s="23"/>
    <row r="643" ht="15.75" customHeight="1" s="23"/>
    <row r="644" ht="15.75" customHeight="1" s="23"/>
    <row r="645" ht="15.75" customHeight="1" s="23"/>
    <row r="646" ht="15.75" customHeight="1" s="23"/>
    <row r="647" ht="15.75" customHeight="1" s="23"/>
    <row r="648" ht="15.75" customHeight="1" s="23"/>
    <row r="649" ht="15.75" customHeight="1" s="23"/>
    <row r="650" ht="15.75" customHeight="1" s="23"/>
    <row r="651" ht="15.75" customHeight="1" s="23"/>
    <row r="652" ht="15.75" customHeight="1" s="23"/>
    <row r="653" ht="15.75" customHeight="1" s="23"/>
    <row r="654" ht="15.75" customHeight="1" s="23"/>
    <row r="655" ht="15.75" customHeight="1" s="23"/>
    <row r="656" ht="15.75" customHeight="1" s="23"/>
    <row r="657" ht="15.75" customHeight="1" s="23"/>
    <row r="658" ht="15.75" customHeight="1" s="23"/>
    <row r="659" ht="15.75" customHeight="1" s="23"/>
    <row r="660" ht="15.75" customHeight="1" s="23"/>
    <row r="661" ht="15.75" customHeight="1" s="23"/>
    <row r="662" ht="15.75" customHeight="1" s="23"/>
    <row r="663" ht="15.75" customHeight="1" s="23"/>
    <row r="664" ht="15.75" customHeight="1" s="23"/>
    <row r="665" ht="15.75" customHeight="1" s="23"/>
    <row r="666" ht="15.75" customHeight="1" s="23"/>
    <row r="667" ht="15.75" customHeight="1" s="23"/>
    <row r="668" ht="15.75" customHeight="1" s="23"/>
    <row r="669" ht="15.75" customHeight="1" s="23"/>
    <row r="670" ht="15.75" customHeight="1" s="23"/>
    <row r="671" ht="15.75" customHeight="1" s="23"/>
    <row r="672" ht="15.75" customHeight="1" s="23"/>
    <row r="673" ht="15.75" customHeight="1" s="23"/>
    <row r="674" ht="15.75" customHeight="1" s="23"/>
    <row r="675" ht="15.75" customHeight="1" s="23"/>
    <row r="676" ht="15.75" customHeight="1" s="23"/>
    <row r="677" ht="15.75" customHeight="1" s="23"/>
    <row r="678" ht="15.75" customHeight="1" s="23"/>
    <row r="679" ht="15.75" customHeight="1" s="23"/>
    <row r="680" ht="15.75" customHeight="1" s="23"/>
    <row r="681" ht="15.75" customHeight="1" s="23"/>
    <row r="682" ht="15.75" customHeight="1" s="23"/>
    <row r="683" ht="15.75" customHeight="1" s="23"/>
    <row r="684" ht="15.75" customHeight="1" s="23"/>
    <row r="685" ht="15.75" customHeight="1" s="23"/>
    <row r="686" ht="15.75" customHeight="1" s="23"/>
    <row r="687" ht="15.75" customHeight="1" s="23"/>
    <row r="688" ht="15.75" customHeight="1" s="23"/>
    <row r="689" ht="15.75" customHeight="1" s="23"/>
    <row r="690" ht="15.75" customHeight="1" s="23"/>
    <row r="691" ht="15.75" customHeight="1" s="23"/>
    <row r="692" ht="15.75" customHeight="1" s="23"/>
    <row r="693" ht="15.75" customHeight="1" s="23"/>
    <row r="694" ht="15.75" customHeight="1" s="23"/>
    <row r="695" ht="15.75" customHeight="1" s="23"/>
    <row r="696" ht="15.75" customHeight="1" s="23"/>
    <row r="697" ht="15.75" customHeight="1" s="23"/>
    <row r="698" ht="15.75" customHeight="1" s="23"/>
    <row r="699" ht="15.75" customHeight="1" s="23"/>
    <row r="700" ht="15.75" customHeight="1" s="23"/>
    <row r="701" ht="15.75" customHeight="1" s="23"/>
    <row r="702" ht="15.75" customHeight="1" s="23"/>
    <row r="703" ht="15.75" customHeight="1" s="23"/>
    <row r="704" ht="15.75" customHeight="1" s="23"/>
    <row r="705" ht="15.75" customHeight="1" s="23"/>
    <row r="706" ht="15.75" customHeight="1" s="23"/>
    <row r="707" ht="15.75" customHeight="1" s="23"/>
    <row r="708" ht="15.75" customHeight="1" s="23"/>
    <row r="709" ht="15.75" customHeight="1" s="23"/>
    <row r="710" ht="15.75" customHeight="1" s="23"/>
    <row r="711" ht="15.75" customHeight="1" s="23"/>
    <row r="712" ht="15.75" customHeight="1" s="23"/>
    <row r="713" ht="15.75" customHeight="1" s="23"/>
    <row r="714" ht="15.75" customHeight="1" s="23"/>
    <row r="715" ht="15.75" customHeight="1" s="23"/>
    <row r="716" ht="15.75" customHeight="1" s="23"/>
    <row r="717" ht="15.75" customHeight="1" s="23"/>
    <row r="718" ht="15.75" customHeight="1" s="23"/>
    <row r="719" ht="15.75" customHeight="1" s="23"/>
    <row r="720" ht="15.75" customHeight="1" s="23"/>
    <row r="721" ht="15.75" customHeight="1" s="23"/>
    <row r="722" ht="15.75" customHeight="1" s="23"/>
    <row r="723" ht="15.75" customHeight="1" s="23"/>
    <row r="724" ht="15.75" customHeight="1" s="23"/>
    <row r="725" ht="15.75" customHeight="1" s="23"/>
    <row r="726" ht="15.75" customHeight="1" s="23"/>
    <row r="727" ht="15.75" customHeight="1" s="23"/>
    <row r="728" ht="15.75" customHeight="1" s="23"/>
    <row r="729" ht="15.75" customHeight="1" s="23"/>
    <row r="730" ht="15.75" customHeight="1" s="23"/>
    <row r="731" ht="15.75" customHeight="1" s="23"/>
    <row r="732" ht="15.75" customHeight="1" s="23"/>
    <row r="733" ht="15.75" customHeight="1" s="23"/>
    <row r="734" ht="15.75" customHeight="1" s="23"/>
    <row r="735" ht="15.75" customHeight="1" s="23"/>
    <row r="736" ht="15.75" customHeight="1" s="23"/>
    <row r="737" ht="15.75" customHeight="1" s="23"/>
    <row r="738" ht="15.75" customHeight="1" s="23"/>
    <row r="739" ht="15.75" customHeight="1" s="23"/>
    <row r="740" ht="15.75" customHeight="1" s="23"/>
    <row r="741" ht="15.75" customHeight="1" s="23"/>
    <row r="742" ht="15.75" customHeight="1" s="23"/>
    <row r="743" ht="15.75" customHeight="1" s="23"/>
    <row r="744" ht="15.75" customHeight="1" s="23"/>
    <row r="745" ht="15.75" customHeight="1" s="23"/>
    <row r="746" ht="15.75" customHeight="1" s="23"/>
    <row r="747" ht="15.75" customHeight="1" s="23"/>
    <row r="748" ht="15.75" customHeight="1" s="23"/>
    <row r="749" ht="15.75" customHeight="1" s="23"/>
    <row r="750" ht="15.75" customHeight="1" s="23"/>
    <row r="751" ht="15.75" customHeight="1" s="23"/>
    <row r="752" ht="15.75" customHeight="1" s="23"/>
    <row r="753" ht="15.75" customHeight="1" s="23"/>
    <row r="754" ht="15.75" customHeight="1" s="23"/>
    <row r="755" ht="15.75" customHeight="1" s="23"/>
    <row r="756" ht="15.75" customHeight="1" s="23"/>
    <row r="757" ht="15.75" customHeight="1" s="23"/>
    <row r="758" ht="15.75" customHeight="1" s="23"/>
    <row r="759" ht="15.75" customHeight="1" s="23"/>
    <row r="760" ht="15.75" customHeight="1" s="23"/>
    <row r="761" ht="15.75" customHeight="1" s="23"/>
    <row r="762" ht="15.75" customHeight="1" s="23"/>
    <row r="763" ht="15.75" customHeight="1" s="23"/>
    <row r="764" ht="15.75" customHeight="1" s="23"/>
    <row r="765" ht="15.75" customHeight="1" s="23"/>
    <row r="766" ht="15.75" customHeight="1" s="23"/>
    <row r="767" ht="15.75" customHeight="1" s="23"/>
    <row r="768" ht="15.75" customHeight="1" s="23"/>
    <row r="769" ht="15.75" customHeight="1" s="23"/>
    <row r="770" ht="15.75" customHeight="1" s="23"/>
    <row r="771" ht="15.75" customHeight="1" s="23"/>
    <row r="772" ht="15.75" customHeight="1" s="23"/>
    <row r="773" ht="15.75" customHeight="1" s="23"/>
    <row r="774" ht="15.75" customHeight="1" s="23"/>
    <row r="775" ht="15.75" customHeight="1" s="23"/>
    <row r="776" ht="15.75" customHeight="1" s="23"/>
    <row r="777" ht="15.75" customHeight="1" s="23"/>
    <row r="778" ht="15.75" customHeight="1" s="23"/>
    <row r="779" ht="15.75" customHeight="1" s="23"/>
    <row r="780" ht="15.75" customHeight="1" s="23"/>
    <row r="781" ht="15.75" customHeight="1" s="23"/>
    <row r="782" ht="15.75" customHeight="1" s="23"/>
    <row r="783" ht="15.75" customHeight="1" s="23"/>
    <row r="784" ht="15.75" customHeight="1" s="23"/>
    <row r="785" ht="15.75" customHeight="1" s="23"/>
    <row r="786" ht="15.75" customHeight="1" s="23"/>
    <row r="787" ht="15.75" customHeight="1" s="23"/>
    <row r="788" ht="15.75" customHeight="1" s="23"/>
    <row r="789" ht="15.75" customHeight="1" s="23"/>
    <row r="790" ht="15.75" customHeight="1" s="23"/>
    <row r="791" ht="15.75" customHeight="1" s="23"/>
    <row r="792" ht="15.75" customHeight="1" s="23"/>
    <row r="793" ht="15.75" customHeight="1" s="23"/>
    <row r="794" ht="15.75" customHeight="1" s="23"/>
    <row r="795" ht="15.75" customHeight="1" s="23"/>
    <row r="796" ht="15.75" customHeight="1" s="23"/>
    <row r="797" ht="15.75" customHeight="1" s="23"/>
    <row r="798" ht="15.75" customHeight="1" s="23"/>
    <row r="799" ht="15.75" customHeight="1" s="23"/>
    <row r="800" ht="15.75" customHeight="1" s="23"/>
    <row r="801" ht="15.75" customHeight="1" s="23"/>
    <row r="802" ht="15.75" customHeight="1" s="23"/>
    <row r="803" ht="15.75" customHeight="1" s="23"/>
    <row r="804" ht="15.75" customHeight="1" s="23"/>
    <row r="805" ht="15.75" customHeight="1" s="23"/>
    <row r="806" ht="15.75" customHeight="1" s="23"/>
    <row r="807" ht="15.75" customHeight="1" s="23"/>
    <row r="808" ht="15.75" customHeight="1" s="23"/>
    <row r="809" ht="15.75" customHeight="1" s="23"/>
    <row r="810" ht="15.75" customHeight="1" s="23"/>
    <row r="811" ht="15.75" customHeight="1" s="23"/>
    <row r="812" ht="15.75" customHeight="1" s="23"/>
    <row r="813" ht="15.75" customHeight="1" s="23"/>
    <row r="814" ht="15.75" customHeight="1" s="23"/>
    <row r="815" ht="15.75" customHeight="1" s="23"/>
    <row r="816" ht="15.75" customHeight="1" s="23"/>
    <row r="817" ht="15.75" customHeight="1" s="23"/>
    <row r="818" ht="15.75" customHeight="1" s="23"/>
    <row r="819" ht="15.75" customHeight="1" s="23"/>
    <row r="820" ht="15.75" customHeight="1" s="23"/>
    <row r="821" ht="15.75" customHeight="1" s="23"/>
    <row r="822" ht="15.75" customHeight="1" s="23"/>
    <row r="823" ht="15.75" customHeight="1" s="23"/>
    <row r="824" ht="15.75" customHeight="1" s="23"/>
    <row r="825" ht="15.75" customHeight="1" s="23"/>
    <row r="826" ht="15.75" customHeight="1" s="23"/>
    <row r="827" ht="15.75" customHeight="1" s="23"/>
    <row r="828" ht="15.75" customHeight="1" s="23"/>
    <row r="829" ht="15.75" customHeight="1" s="23"/>
    <row r="830" ht="15.75" customHeight="1" s="23"/>
    <row r="831" ht="15.75" customHeight="1" s="23"/>
    <row r="832" ht="15.75" customHeight="1" s="23"/>
    <row r="833" ht="15.75" customHeight="1" s="23"/>
    <row r="834" ht="15.75" customHeight="1" s="23"/>
    <row r="835" ht="15.75" customHeight="1" s="23"/>
    <row r="836" ht="15.75" customHeight="1" s="23"/>
    <row r="837" ht="15.75" customHeight="1" s="23"/>
    <row r="838" ht="15.75" customHeight="1" s="23"/>
    <row r="839" ht="15.75" customHeight="1" s="23"/>
    <row r="840" ht="15.75" customHeight="1" s="23"/>
    <row r="841" ht="15.75" customHeight="1" s="23"/>
    <row r="842" ht="15.75" customHeight="1" s="23"/>
    <row r="843" ht="15.75" customHeight="1" s="23"/>
    <row r="844" ht="15.75" customHeight="1" s="23"/>
    <row r="845" ht="15.75" customHeight="1" s="23"/>
    <row r="846" ht="15.75" customHeight="1" s="23"/>
    <row r="847" ht="15.75" customHeight="1" s="23"/>
    <row r="848" ht="15.75" customHeight="1" s="23"/>
    <row r="849" ht="15.75" customHeight="1" s="23"/>
    <row r="850" ht="15.75" customHeight="1" s="23"/>
    <row r="851" ht="15.75" customHeight="1" s="23"/>
    <row r="852" ht="15.75" customHeight="1" s="23"/>
    <row r="853" ht="15.75" customHeight="1" s="23"/>
    <row r="854" ht="15.75" customHeight="1" s="23"/>
    <row r="855" ht="15.75" customHeight="1" s="23"/>
    <row r="856" ht="15.75" customHeight="1" s="23"/>
    <row r="857" ht="15.75" customHeight="1" s="23"/>
    <row r="858" ht="15.75" customHeight="1" s="23"/>
    <row r="859" ht="15.75" customHeight="1" s="23"/>
    <row r="860" ht="15.75" customHeight="1" s="23"/>
    <row r="861" ht="15.75" customHeight="1" s="23"/>
    <row r="862" ht="15.75" customHeight="1" s="23"/>
    <row r="863" ht="15.75" customHeight="1" s="23"/>
    <row r="864" ht="15.75" customHeight="1" s="23"/>
    <row r="865" ht="15.75" customHeight="1" s="23"/>
    <row r="866" ht="15.75" customHeight="1" s="23"/>
    <row r="867" ht="15.75" customHeight="1" s="23"/>
    <row r="868" ht="15.75" customHeight="1" s="23"/>
    <row r="869" ht="15.75" customHeight="1" s="23"/>
    <row r="870" ht="15.75" customHeight="1" s="23"/>
    <row r="871" ht="15.75" customHeight="1" s="23"/>
    <row r="872" ht="15.75" customHeight="1" s="23"/>
    <row r="873" ht="15.75" customHeight="1" s="23"/>
    <row r="874" ht="15.75" customHeight="1" s="23"/>
    <row r="875" ht="15.75" customHeight="1" s="23"/>
    <row r="876" ht="15.75" customHeight="1" s="23"/>
    <row r="877" ht="15.75" customHeight="1" s="23"/>
    <row r="878" ht="15.75" customHeight="1" s="23"/>
    <row r="879" ht="15.75" customHeight="1" s="23"/>
    <row r="880" ht="15.75" customHeight="1" s="23"/>
    <row r="881" ht="15.75" customHeight="1" s="23"/>
    <row r="882" ht="15.75" customHeight="1" s="23"/>
    <row r="883" ht="15.75" customHeight="1" s="23"/>
    <row r="884" ht="15.75" customHeight="1" s="23"/>
    <row r="885" ht="15.75" customHeight="1" s="23"/>
    <row r="886" ht="15.75" customHeight="1" s="23"/>
    <row r="887" ht="15.75" customHeight="1" s="23"/>
    <row r="888" ht="15.75" customHeight="1" s="23"/>
    <row r="889" ht="15.75" customHeight="1" s="23"/>
    <row r="890" ht="15.75" customHeight="1" s="23"/>
    <row r="891" ht="15.75" customHeight="1" s="23"/>
    <row r="892" ht="15.75" customHeight="1" s="23"/>
    <row r="893" ht="15.75" customHeight="1" s="23"/>
    <row r="894" ht="15.75" customHeight="1" s="23"/>
    <row r="895" ht="15.75" customHeight="1" s="23"/>
    <row r="896" ht="15.75" customHeight="1" s="23"/>
    <row r="897" ht="15.75" customHeight="1" s="23"/>
    <row r="898" ht="15.75" customHeight="1" s="23"/>
    <row r="899" ht="15.75" customHeight="1" s="23"/>
    <row r="900" ht="15.75" customHeight="1" s="23"/>
    <row r="901" ht="15.75" customHeight="1" s="23"/>
    <row r="902" ht="15.75" customHeight="1" s="23"/>
    <row r="903" ht="15.75" customHeight="1" s="23"/>
    <row r="904" ht="15.75" customHeight="1" s="23"/>
    <row r="905" ht="15.75" customHeight="1" s="23"/>
    <row r="906" ht="15.75" customHeight="1" s="23"/>
    <row r="907" ht="15.75" customHeight="1" s="23"/>
    <row r="908" ht="15.75" customHeight="1" s="23"/>
    <row r="909" ht="15.75" customHeight="1" s="23"/>
    <row r="910" ht="15.75" customHeight="1" s="23"/>
    <row r="911" ht="15.75" customHeight="1" s="23"/>
    <row r="912" ht="15.75" customHeight="1" s="23"/>
    <row r="913" ht="15.75" customHeight="1" s="23"/>
    <row r="914" ht="15.75" customHeight="1" s="23"/>
    <row r="915" ht="15.75" customHeight="1" s="23"/>
    <row r="916" ht="15.75" customHeight="1" s="23"/>
    <row r="917" ht="15.75" customHeight="1" s="23"/>
    <row r="918" ht="15.75" customHeight="1" s="23"/>
    <row r="919" ht="15.75" customHeight="1" s="23"/>
    <row r="920" ht="15.75" customHeight="1" s="23"/>
    <row r="921" ht="15.75" customHeight="1" s="23"/>
    <row r="922" ht="15.75" customHeight="1" s="23"/>
    <row r="923" ht="15.75" customHeight="1" s="23"/>
    <row r="924" ht="15.75" customHeight="1" s="23"/>
    <row r="925" ht="15.75" customHeight="1" s="23"/>
    <row r="926" ht="15.75" customHeight="1" s="23"/>
    <row r="927" ht="15.75" customHeight="1" s="23"/>
    <row r="928" ht="15.75" customHeight="1" s="23"/>
    <row r="929" ht="15.75" customHeight="1" s="23"/>
    <row r="930" ht="15.75" customHeight="1" s="23"/>
    <row r="931" ht="15.75" customHeight="1" s="23"/>
    <row r="932" ht="15.75" customHeight="1" s="23"/>
    <row r="933" ht="15.75" customHeight="1" s="23"/>
    <row r="934" ht="15.75" customHeight="1" s="23"/>
    <row r="935" ht="15.75" customHeight="1" s="23"/>
    <row r="936" ht="15.75" customHeight="1" s="23"/>
    <row r="937" ht="15.75" customHeight="1" s="23"/>
    <row r="938" ht="15.75" customHeight="1" s="23"/>
    <row r="939" ht="15.75" customHeight="1" s="23"/>
    <row r="940" ht="15.75" customHeight="1" s="23"/>
    <row r="941" ht="15.75" customHeight="1" s="23"/>
    <row r="942" ht="15.75" customHeight="1" s="23"/>
    <row r="943" ht="15.75" customHeight="1" s="23"/>
    <row r="944" ht="15.75" customHeight="1" s="23"/>
    <row r="945" ht="15.75" customHeight="1" s="23"/>
    <row r="946" ht="15.75" customHeight="1" s="23"/>
    <row r="947" ht="15.75" customHeight="1" s="23"/>
    <row r="948" ht="15.75" customHeight="1" s="23"/>
    <row r="949" ht="15.75" customHeight="1" s="23"/>
    <row r="950" ht="15.75" customHeight="1" s="23"/>
    <row r="951" ht="15.75" customHeight="1" s="23"/>
    <row r="952" ht="15.75" customHeight="1" s="23"/>
    <row r="953" ht="15.75" customHeight="1" s="23"/>
    <row r="954" ht="15.75" customHeight="1" s="23"/>
    <row r="955" ht="15.75" customHeight="1" s="23"/>
    <row r="956" ht="15.75" customHeight="1" s="23"/>
    <row r="957" ht="15.75" customHeight="1" s="23"/>
    <row r="958" ht="15.75" customHeight="1" s="23"/>
    <row r="959" ht="15.75" customHeight="1" s="23"/>
    <row r="960" ht="15.75" customHeight="1" s="23"/>
    <row r="961" ht="15.75" customHeight="1" s="23"/>
    <row r="962" ht="15.75" customHeight="1" s="23"/>
    <row r="963" ht="15.75" customHeight="1" s="23"/>
    <row r="964" ht="15.75" customHeight="1" s="23"/>
    <row r="965" ht="15.75" customHeight="1" s="23"/>
    <row r="966" ht="15.75" customHeight="1" s="23"/>
    <row r="967" ht="15.75" customHeight="1" s="23"/>
    <row r="968" ht="15.75" customHeight="1" s="23"/>
    <row r="969" ht="15.75" customHeight="1" s="23"/>
    <row r="970" ht="15.75" customHeight="1" s="23"/>
    <row r="971" ht="15.75" customHeight="1" s="23"/>
    <row r="972" ht="15.75" customHeight="1" s="23"/>
    <row r="973" ht="15.75" customHeight="1" s="23"/>
    <row r="974" ht="15.75" customHeight="1" s="23"/>
    <row r="975" ht="15.75" customHeight="1" s="23"/>
    <row r="976" ht="15.75" customHeight="1" s="23"/>
    <row r="977" ht="15.75" customHeight="1" s="23"/>
    <row r="978" ht="15.75" customHeight="1" s="23"/>
    <row r="979" ht="15.75" customHeight="1" s="23"/>
    <row r="980" ht="15.75" customHeight="1" s="23"/>
    <row r="981" ht="15.75" customHeight="1" s="23"/>
    <row r="982" ht="15.75" customHeight="1" s="23"/>
    <row r="983" ht="15.75" customHeight="1" s="23"/>
    <row r="984" ht="15.75" customHeight="1" s="23"/>
    <row r="985" ht="15.75" customHeight="1" s="23"/>
    <row r="986" ht="15.75" customHeight="1" s="23"/>
    <row r="987" ht="15.75" customHeight="1" s="23"/>
    <row r="988" ht="15.75" customHeight="1" s="23"/>
    <row r="989" ht="15.75" customHeight="1" s="23"/>
    <row r="990" ht="15.75" customHeight="1" s="23"/>
    <row r="991" ht="15.75" customHeight="1" s="23"/>
    <row r="992" ht="15.75" customHeight="1" s="23"/>
    <row r="993" ht="15.75" customHeight="1" s="23"/>
    <row r="994" ht="15.75" customHeight="1" s="23"/>
    <row r="995" ht="15.75" customHeight="1" s="23"/>
    <row r="996" ht="15.75" customHeight="1" s="23"/>
    <row r="997" ht="15.75" customHeight="1" s="23"/>
    <row r="998" ht="15.75" customHeight="1" s="23"/>
    <row r="999" ht="15.75" customHeight="1" s="23"/>
    <row r="1000" ht="15.75" customHeight="1" s="23"/>
  </sheetData>
  <autoFilter ref="$A$1:$M$151"/>
  <conditionalFormatting sqref="G2:G151">
    <cfRule type="cellIs" priority="1" operator="equal" dxfId="0">
      <formula>"Verified absent"</formula>
    </cfRule>
    <cfRule type="cellIs" priority="2" operator="equal" dxfId="0">
      <formula>"Verified in corpus"</formula>
    </cfRule>
    <cfRule type="cellIs" priority="3" operator="equal" dxfId="1">
      <formula>"Needs human check"</formula>
    </cfRule>
    <cfRule type="cellIs" priority="4" operator="equal" dxfId="2">
      <formula>"Rejected - rewrite"</formula>
    </cfRule>
  </conditionalFormatting>
  <conditionalFormatting sqref="K2:K151">
    <cfRule type="cellIs" priority="5" operator="equal" dxfId="3">
      <formula>"DISAGREE"</formula>
    </cfRule>
  </conditionalFormatting>
  <dataValidations count="2">
    <dataValidation sqref="I2:J151 L2:L151" showDropDown="0" showInputMessage="0" showErrorMessage="0" allowBlank="1" type="list">
      <formula1>"In-scope,Tangential,Out-of-scope"</formula1>
    </dataValidation>
    <dataValidation sqref="G2:G151" showDropDown="0" showInputMessage="0" showErrorMessage="0" allowBlank="1" type="list">
      <formula1>"Needs human check,Verified in corpus,Verified absent,Rejected - rewrite"</formula1>
    </dataValidation>
  </dataValidations>
  <pageMargins left="0.75" right="0.75" top="1" bottom="1" header="0" footer="0"/>
  <pageSetup orientation="landscape"/>
  <headerFooter>
    <oddHeader>&amp;L 008000 Classification: Internal#_x000d_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M51"/>
  <sheetViews>
    <sheetView workbookViewId="0">
      <pane ySplit="5" topLeftCell="A6" activePane="bottomLeft" state="frozen"/>
      <selection pane="bottomLeft" activeCell="B7" sqref="B7"/>
    </sheetView>
  </sheetViews>
  <sheetFormatPr baseColWidth="8" defaultColWidth="14.43" defaultRowHeight="15" customHeight="1"/>
  <cols>
    <col width="7" customWidth="1" style="23" min="1" max="1"/>
    <col width="46" customWidth="1" style="23" min="2" max="2"/>
    <col width="13" customWidth="1" style="23" min="3" max="3"/>
    <col width="26" customWidth="1" style="23" min="4" max="4"/>
    <col width="13" customWidth="1" style="23" min="5" max="5"/>
    <col width="30" customWidth="1" style="23" min="6" max="6"/>
    <col width="10" customWidth="1" style="23" min="7" max="7"/>
    <col width="52" customWidth="1" style="23" min="8" max="8"/>
    <col width="14" customWidth="1" style="23" min="9" max="9"/>
    <col width="7" customWidth="1" style="23" min="10" max="10"/>
    <col width="60" customWidth="1" style="23" min="11" max="11"/>
    <col width="64.86" customWidth="1" style="23" min="12" max="12"/>
    <col width="24.71" customWidth="1" style="23" min="13" max="13"/>
    <col width="8.710000000000001" customWidth="1" style="23" min="14" max="26"/>
  </cols>
  <sheetData>
    <row r="1" ht="42" customHeight="1" s="23">
      <c r="A1" s="3" t="inlineStr">
        <is>
          <t>Adjudication guide — 46 disagreements, grouped. Cohen's kappa = 0.492 (raw 69.3%). Record decisions in 'Final label' on the Questions sheet.</t>
        </is>
      </c>
    </row>
    <row r="2" ht="42" customHeight="1" s="23">
      <c r="A2" s="5" t="inlineStr">
        <is>
          <t>Cluster A (29 rows): designed-in-scope questions. Pattern: V labelled by the question's WORDING, M by the underlying CONCEPT — most visible on paraphrase rows (e.g., 'rewind the project' = version control, taught in DS p.480). Suggested rule: judge whether the books answer the CONCEPT; the paraphrase disguise is the test for the SYSTEM, not the annotator. Evidence citations are in each row below.</t>
        </is>
      </c>
    </row>
    <row r="3" ht="42" customHeight="1" s="23">
      <c r="A3" s="5" t="inlineStr">
        <is>
          <t>Cluster B (17 rows): Tangential vs Out-of-scope boundary. Suggested rule: TANGENTIAL if the books cover the adjacent topic (Scrum covered → Kanban question is tangential); OUT-OF-SCOPE if the question's premise targets something outside the corpus entirely (Unreal source, Java internals, MRI scans, GPT-4, exam answers) or an unrelated domain. Write the agreed rule into the paper's methods.</t>
        </is>
      </c>
    </row>
    <row r="4" ht="15" customHeight="1" s="23">
      <c r="A4" s="5" t="n"/>
    </row>
    <row r="5">
      <c r="A5" s="9" t="inlineStr">
        <is>
          <t>QID</t>
        </is>
      </c>
      <c r="B5" s="9" t="inlineStr">
        <is>
          <t>Question</t>
        </is>
      </c>
      <c r="C5" s="9" t="inlineStr">
        <is>
          <t>V label</t>
        </is>
      </c>
      <c r="D5" s="9" t="inlineStr">
        <is>
          <t>V remark</t>
        </is>
      </c>
      <c r="E5" s="9" t="inlineStr">
        <is>
          <t>M label</t>
        </is>
      </c>
      <c r="F5" s="9" t="inlineStr">
        <is>
          <t>M remark</t>
        </is>
      </c>
      <c r="G5" s="9" t="inlineStr">
        <is>
          <t>Cluster</t>
        </is>
      </c>
      <c r="H5" s="9" t="inlineStr">
        <is>
          <t>Evidence / basis for discussion</t>
        </is>
      </c>
      <c r="I5" s="9" t="inlineStr">
        <is>
          <t>Resolution</t>
        </is>
      </c>
      <c r="J5" s="9" t="inlineStr">
        <is>
          <t>Rule</t>
        </is>
      </c>
      <c r="K5" s="9" t="inlineStr">
        <is>
          <t>Reasoning</t>
        </is>
      </c>
      <c r="L5" s="9" t="inlineStr">
        <is>
          <t>Comment from Manasvi</t>
        </is>
      </c>
      <c r="M5" s="9" t="inlineStr">
        <is>
          <t>Comment from Vatsala</t>
        </is>
      </c>
    </row>
    <row r="6">
      <c r="A6" s="10" t="inlineStr">
        <is>
          <t>Q001</t>
        </is>
      </c>
      <c r="B6" s="10" t="inlineStr">
        <is>
          <t>What is the difference between a list and a tuple in Python?</t>
        </is>
      </c>
      <c r="C6" s="10" t="inlineStr">
        <is>
          <t>Tangential</t>
        </is>
      </c>
      <c r="D6" s="10" t="n"/>
      <c r="E6" s="10" t="inlineStr">
        <is>
          <t>In-scope</t>
        </is>
      </c>
      <c r="F6" s="10" t="inlineStr">
        <is>
          <t>The Python text directly contrasts lists and tuples.</t>
        </is>
      </c>
      <c r="G6" s="10" t="inlineStr">
        <is>
          <t>A</t>
        </is>
      </c>
      <c r="H6" s="10" t="inlineStr">
        <is>
          <t>PY §3.4–3.5; mutability contrast p.96.</t>
        </is>
      </c>
      <c r="I6" s="5" t="inlineStr">
        <is>
          <t>In-scope</t>
        </is>
      </c>
      <c r="J6" s="5" t="inlineStr">
        <is>
          <t>1+3</t>
        </is>
      </c>
      <c r="K6" s="5" t="inlineStr">
        <is>
          <t>PY p.96 contrasts lists/tuples explicitly ('tuples are immutable, whereas lists are mutable').</t>
        </is>
      </c>
      <c r="L6" s="13" t="n"/>
      <c r="M6" s="13" t="inlineStr">
        <is>
          <t>Agree with the resolution</t>
        </is>
      </c>
    </row>
    <row r="7">
      <c r="A7" s="10" t="inlineStr">
        <is>
          <t>Q005</t>
        </is>
      </c>
      <c r="B7" s="10" t="inlineStr">
        <is>
          <t>How does slicing work for strings and lists in Python?</t>
        </is>
      </c>
      <c r="C7" s="10" t="inlineStr">
        <is>
          <t>Tangential</t>
        </is>
      </c>
      <c r="D7" s="10" t="inlineStr">
        <is>
          <t>string slicing is there, but not list slicing</t>
        </is>
      </c>
      <c r="E7" s="10" t="inlineStr">
        <is>
          <t>In-scope</t>
        </is>
      </c>
      <c r="F7" s="10" t="inlineStr">
        <is>
          <t>String and list slicing are covered in the Python text.</t>
        </is>
      </c>
      <c r="G7" s="10" t="inlineStr">
        <is>
          <t>A</t>
        </is>
      </c>
      <c r="H7" s="15" t="inlineStr">
        <is>
          <t>V IS FACTUALLY RIGHT: 'list slicing' has ZERO hits — PY §8.2 covers strings only. Recommend: narrow question to string slicing, then both re-label this row.</t>
        </is>
      </c>
      <c r="I7" s="5" t="inlineStr">
        <is>
          <t>In-scope</t>
        </is>
      </c>
      <c r="J7" s="5" t="inlineStr">
        <is>
          <t>3</t>
        </is>
      </c>
      <c r="K7" s="5" t="inlineStr">
        <is>
          <t>QUESTION NARROWED v3.2 to strings only (V's remark verified correct: list slicing never taught). String slicing = PY §8.2.</t>
        </is>
      </c>
      <c r="L7" s="13" t="inlineStr">
        <is>
          <t>Agreed technically, the only concern here being List and String Slicing are the exact same concept with the exact same syntax. Hence on a technicality it can be considered tangential just because the word "List Slicing" is not present, however it is the exact same concept, hence it is upto your discretion over if to keep this Tangential or In Scope.</t>
        </is>
      </c>
      <c r="M7" s="13" t="n"/>
    </row>
    <row r="8">
      <c r="A8" s="10" t="inlineStr">
        <is>
          <t>Q015</t>
        </is>
      </c>
      <c r="B8" s="10" t="inlineStr">
        <is>
          <t>How does a stack differ from a queue?</t>
        </is>
      </c>
      <c r="C8" s="10" t="inlineStr">
        <is>
          <t>Tangential</t>
        </is>
      </c>
      <c r="D8" s="10" t="inlineStr">
        <is>
          <t>few mentions in ODS book</t>
        </is>
      </c>
      <c r="E8" s="10" t="inlineStr">
        <is>
          <t>In-scope</t>
        </is>
      </c>
      <c r="F8" s="10" t="inlineStr">
        <is>
          <t>Stacks and queues and their differing access rules are covered.</t>
        </is>
      </c>
      <c r="G8" s="10" t="inlineStr">
        <is>
          <t>A</t>
        </is>
      </c>
      <c r="H8" s="15" t="inlineStr">
        <is>
          <t>ODS §1.2 defines stack vs queue explicitly with figures (p.17–18) and implements both (ch.2) — more than passing mentions.</t>
        </is>
      </c>
      <c r="I8" s="5" t="inlineStr">
        <is>
          <t>In-scope</t>
        </is>
      </c>
      <c r="J8" s="5" t="inlineStr">
        <is>
          <t>3</t>
        </is>
      </c>
      <c r="K8" s="5" t="inlineStr">
        <is>
          <t>ODS §1.2 defines and contrasts FIFO queue vs LIFO stack with figures (p.17–18); ch.2 implements both.</t>
        </is>
      </c>
      <c r="L8" s="13" t="inlineStr">
        <is>
          <t>Agreed.</t>
        </is>
      </c>
      <c r="M8" s="13" t="inlineStr">
        <is>
          <t>Agree with the resolution</t>
        </is>
      </c>
    </row>
    <row r="9">
      <c r="A9" s="10" t="inlineStr">
        <is>
          <t>Q016</t>
        </is>
      </c>
      <c r="B9" s="10" t="inlineStr">
        <is>
          <t>What is a pandas DataFrame and how does it differ from a Series?</t>
        </is>
      </c>
      <c r="C9" s="10" t="inlineStr">
        <is>
          <t>Tangential</t>
        </is>
      </c>
      <c r="D9" s="10" t="n"/>
      <c r="E9" s="10" t="inlineStr">
        <is>
          <t>In-scope</t>
        </is>
      </c>
      <c r="F9" s="10" t="inlineStr">
        <is>
          <t>The data-science/Python texts explain pandas DataFrames and Series.</t>
        </is>
      </c>
      <c r="G9" s="10" t="inlineStr">
        <is>
          <t>A</t>
        </is>
      </c>
      <c r="H9" s="10" t="inlineStr">
        <is>
          <t>PY §15.3 + DS p.48 'DataFrame versus Series'.</t>
        </is>
      </c>
      <c r="I9" s="5" t="inlineStr">
        <is>
          <t>In-scope</t>
        </is>
      </c>
      <c r="J9" s="5" t="inlineStr">
        <is>
          <t>3</t>
        </is>
      </c>
      <c r="K9" s="5" t="inlineStr">
        <is>
          <t>PY §15.3 + DS p.48 section literally titled 'DataFrame versus Series'.</t>
        </is>
      </c>
      <c r="L9" s="13" t="n"/>
      <c r="M9" s="13" t="inlineStr">
        <is>
          <t>Agree with the resolution</t>
        </is>
      </c>
    </row>
    <row r="10">
      <c r="A10" s="10" t="inlineStr">
        <is>
          <t>Q019</t>
        </is>
      </c>
      <c r="B10" s="10" t="inlineStr">
        <is>
          <t>What are the time complexities of appending to and inserting into a Python list?</t>
        </is>
      </c>
      <c r="C10" s="10" t="inlineStr">
        <is>
          <t>In-scope</t>
        </is>
      </c>
      <c r="D10" s="10" t="n"/>
      <c r="E10" s="10" t="inlineStr">
        <is>
          <t>Tangential</t>
        </is>
      </c>
      <c r="F10" s="10" t="inlineStr">
        <is>
          <t>Python list operations are covered, but a direct append-versus-insert complexity treatment is incomplete.</t>
        </is>
      </c>
      <c r="G10" s="10" t="inlineStr">
        <is>
          <t>A</t>
        </is>
      </c>
      <c r="H10" s="15" t="inlineStr">
        <is>
          <t>ODS §2.1 gives the add/remove analysis incl. amortized resize; the mapping to Python lists is implicit — decide if that counts as taught.</t>
        </is>
      </c>
      <c r="I10" s="5" t="inlineStr">
        <is>
          <t>In-scope</t>
        </is>
      </c>
      <c r="J10" s="5" t="inlineStr">
        <is>
          <t>1+3</t>
        </is>
      </c>
      <c r="K10" s="5" t="inlineStr">
        <is>
          <t>ODS §2.1 teaches array-based list add/remove costs incl. amortized resize; concept maps to Python lists.</t>
        </is>
      </c>
      <c r="L10" s="13" t="inlineStr">
        <is>
          <t>Agreed on the technicality that the same concept holds true for python lists as well and is inferred implicitly.</t>
        </is>
      </c>
      <c r="M10" s="13" t="n"/>
    </row>
    <row r="11">
      <c r="A11" s="10" t="inlineStr">
        <is>
          <t>Q022</t>
        </is>
      </c>
      <c r="B11" s="10" t="inlineStr">
        <is>
          <t>What does the list sort() method do, and how does it order strings?</t>
        </is>
      </c>
      <c r="C11" s="10" t="inlineStr">
        <is>
          <t>Tangential</t>
        </is>
      </c>
      <c r="D11" s="10" t="n"/>
      <c r="E11" s="10" t="inlineStr">
        <is>
          <t>In-scope</t>
        </is>
      </c>
      <c r="F11" s="10" t="inlineStr">
        <is>
          <t>The Python text covers list sorting and string ordering.</t>
        </is>
      </c>
      <c r="G11" s="10" t="inlineStr">
        <is>
          <t>A</t>
        </is>
      </c>
      <c r="H11" s="10" t="inlineStr">
        <is>
          <t>PY §9.2 p.236–237 incl. ASCII ordering caveat.</t>
        </is>
      </c>
      <c r="I11" s="5" t="inlineStr">
        <is>
          <t>In-scope</t>
        </is>
      </c>
      <c r="J11" s="5" t="inlineStr">
        <is>
          <t>3</t>
        </is>
      </c>
      <c r="K11" s="5" t="inlineStr">
        <is>
          <t>PY §9.2 p.236–237 teaches sort() incl. ASCII string-ordering caveat.</t>
        </is>
      </c>
      <c r="L11" s="13" t="n"/>
      <c r="M11" s="13" t="inlineStr">
        <is>
          <t>Agree with the resolution</t>
        </is>
      </c>
    </row>
    <row r="12">
      <c r="A12" s="10" t="inlineStr">
        <is>
          <t>Q026</t>
        </is>
      </c>
      <c r="B12" s="10" t="inlineStr">
        <is>
          <t>What are the typical stages of a data-science workflow?</t>
        </is>
      </c>
      <c r="C12" s="10" t="inlineStr">
        <is>
          <t>Out-of-scope</t>
        </is>
      </c>
      <c r="D12" s="10" t="n"/>
      <c r="E12" s="10" t="inlineStr">
        <is>
          <t>In-scope</t>
        </is>
      </c>
      <c r="F12" s="10" t="inlineStr">
        <is>
          <t>The data-science workflow is covered across collection, preparation, analysis, and communication.</t>
        </is>
      </c>
      <c r="G12" s="10" t="inlineStr">
        <is>
          <t>A</t>
        </is>
      </c>
      <c r="H12" s="10" t="inlineStr">
        <is>
          <t>DS §1.1 data science cycle (LO 1.1.2).</t>
        </is>
      </c>
      <c r="I12" s="5" t="inlineStr">
        <is>
          <t>In-scope</t>
        </is>
      </c>
      <c r="J12" s="5" t="inlineStr">
        <is>
          <t>3</t>
        </is>
      </c>
      <c r="K12" s="5" t="inlineStr">
        <is>
          <t>DS §1.1 LO 1.1.2: 'explain the data science cycle and goals of each step'.</t>
        </is>
      </c>
      <c r="L12" s="13" t="n"/>
      <c r="M12" s="13" t="inlineStr">
        <is>
          <t>Agree with the resolution</t>
        </is>
      </c>
    </row>
    <row r="13">
      <c r="A13" s="10" t="inlineStr">
        <is>
          <t>Q039</t>
        </is>
      </c>
      <c r="B13" s="10" t="inlineStr">
        <is>
          <t>How do you read a Python error message and traceback to locate a bug?</t>
        </is>
      </c>
      <c r="C13" s="10" t="inlineStr">
        <is>
          <t>Tangential</t>
        </is>
      </c>
      <c r="D13" s="10" t="inlineStr">
        <is>
          <t>just mention in python book</t>
        </is>
      </c>
      <c r="E13" s="10" t="inlineStr">
        <is>
          <t>In-scope</t>
        </is>
      </c>
      <c r="F13" s="10" t="inlineStr">
        <is>
          <t>The Python text explains error messages and tracebacks for locating faults.</t>
        </is>
      </c>
      <c r="G13" s="10" t="inlineStr">
        <is>
          <t>A</t>
        </is>
      </c>
      <c r="H13" s="10" t="inlineStr">
        <is>
          <t>PY §1.6 Error messages (25 hits, traceback examples).</t>
        </is>
      </c>
      <c r="I13" s="5" t="inlineStr">
        <is>
          <t>In-scope</t>
        </is>
      </c>
      <c r="J13" s="5" t="inlineStr">
        <is>
          <t>3</t>
        </is>
      </c>
      <c r="K13" s="5" t="inlineStr">
        <is>
          <t>PY §1.6 Error messages: dedicated section, 25 mentions, worked traceback examples.</t>
        </is>
      </c>
      <c r="L13" s="13" t="n"/>
      <c r="M13" s="13" t="inlineStr">
        <is>
          <t>Agree with the resolution</t>
        </is>
      </c>
    </row>
    <row r="14">
      <c r="A14" s="10" t="inlineStr">
        <is>
          <t>Q041</t>
        </is>
      </c>
      <c r="B14" s="10" t="inlineStr">
        <is>
          <t>Compare lists, tuples, and dictionaries in terms of mutability and typical use cases.</t>
        </is>
      </c>
      <c r="C14" s="10" t="inlineStr">
        <is>
          <t>Tangential</t>
        </is>
      </c>
      <c r="D14" s="10" t="n"/>
      <c r="E14" s="10" t="inlineStr">
        <is>
          <t>In-scope</t>
        </is>
      </c>
      <c r="F14" s="10" t="inlineStr">
        <is>
          <t>Lists, tuples, and dictionaries are covered with mutability and use distinctions.</t>
        </is>
      </c>
      <c r="G14" s="10" t="inlineStr">
        <is>
          <t>A</t>
        </is>
      </c>
      <c r="H14" s="10" t="inlineStr">
        <is>
          <t>PY p.96–97 + dict ch.10 (multi-chunk).</t>
        </is>
      </c>
      <c r="I14" s="5" t="inlineStr">
        <is>
          <t>In-scope</t>
        </is>
      </c>
      <c r="J14" s="5" t="inlineStr">
        <is>
          <t>1+3</t>
        </is>
      </c>
      <c r="K14" s="5" t="inlineStr">
        <is>
          <t>PY p.96–97 mutability + ch.10 dictionaries; multi-chunk synthesis is by design.</t>
        </is>
      </c>
      <c r="L14" s="13" t="n"/>
      <c r="M14" s="13" t="inlineStr">
        <is>
          <t>Agree with the resolution</t>
        </is>
      </c>
    </row>
    <row r="15">
      <c r="A15" s="10" t="inlineStr">
        <is>
          <t>Q044</t>
        </is>
      </c>
      <c r="B15" s="10" t="inlineStr">
        <is>
          <t>Compare searching an unsorted list, a sorted list with binary search, and a dictionary lookup.</t>
        </is>
      </c>
      <c r="C15" s="10" t="inlineStr">
        <is>
          <t>Out-of-scope</t>
        </is>
      </c>
      <c r="D15" s="10" t="n"/>
      <c r="E15" s="10" t="inlineStr">
        <is>
          <t>In-scope</t>
        </is>
      </c>
      <c r="F15" s="10" t="inlineStr">
        <is>
          <t>The data-structures text covers linear search, binary search, and hash-table lookup.</t>
        </is>
      </c>
      <c r="G15" s="10" t="inlineStr">
        <is>
          <t>A</t>
        </is>
      </c>
      <c r="H15" s="10" t="inlineStr">
        <is>
          <t>PY §12.5 + ODS §6.2 + ODS ch.5.</t>
        </is>
      </c>
      <c r="I15" s="5" t="inlineStr">
        <is>
          <t>In-scope</t>
        </is>
      </c>
      <c r="J15" s="5" t="inlineStr">
        <is>
          <t>1+3</t>
        </is>
      </c>
      <c r="K15" s="5" t="inlineStr">
        <is>
          <t>PY §12.5 (linear vs binary search) + ODS §6.2 + ODS ch.5 (hash lookup).</t>
        </is>
      </c>
      <c r="L15" s="13" t="n"/>
      <c r="M15" s="13" t="inlineStr">
        <is>
          <t>Agree with the resolution</t>
        </is>
      </c>
    </row>
    <row r="16">
      <c r="A16" s="10" t="inlineStr">
        <is>
          <t>Q046</t>
        </is>
      </c>
      <c r="B16" s="10" t="inlineStr">
        <is>
          <t>How would you find the maximum value in a list using loops and conditionals (no built-ins), and what is the complexity?</t>
        </is>
      </c>
      <c r="C16" s="10" t="inlineStr">
        <is>
          <t>Tangential</t>
        </is>
      </c>
      <c r="D16" s="10" t="n"/>
      <c r="E16" s="10" t="inlineStr">
        <is>
          <t>In-scope</t>
        </is>
      </c>
      <c r="F16" s="10" t="inlineStr">
        <is>
          <t>Loops and conditionals are taught, and linear maximum-search complexity is supported.</t>
        </is>
      </c>
      <c r="G16" s="10" t="inlineStr">
        <is>
          <t>A</t>
        </is>
      </c>
      <c r="H16" s="10" t="inlineStr">
        <is>
          <t>PY loops/conditionals chs.4–5 + ODS complexity §1.3.3 (synthesis).</t>
        </is>
      </c>
      <c r="I16" s="5" t="inlineStr">
        <is>
          <t>In-scope</t>
        </is>
      </c>
      <c r="J16" s="5" t="inlineStr">
        <is>
          <t>1</t>
        </is>
      </c>
      <c r="K16" s="5" t="inlineStr">
        <is>
          <t>Loops+conditionals taught (PY chs.4–5); complexity of linear scan from ODS §1.3.3.</t>
        </is>
      </c>
      <c r="L16" s="13" t="n"/>
      <c r="M16" s="13" t="inlineStr">
        <is>
          <t>Agree with the resolution</t>
        </is>
      </c>
    </row>
    <row r="17">
      <c r="A17" s="10" t="inlineStr">
        <is>
          <t>Q048</t>
        </is>
      </c>
      <c r="B17" s="10" t="inlineStr">
        <is>
          <t>What roles do training data and evaluation metrics each play in judging whether a model generalises?</t>
        </is>
      </c>
      <c r="C17" s="10" t="inlineStr">
        <is>
          <t>Out-of-scope</t>
        </is>
      </c>
      <c r="D17" s="10" t="n"/>
      <c r="E17" s="10" t="inlineStr">
        <is>
          <t>In-scope</t>
        </is>
      </c>
      <c r="F17" s="10" t="inlineStr">
        <is>
          <t>Training data, evaluation metrics, validation, and generalisation are covered.</t>
        </is>
      </c>
      <c r="G17" s="10" t="inlineStr">
        <is>
          <t>A</t>
        </is>
      </c>
      <c r="H17" s="10" t="inlineStr">
        <is>
          <t>DS §6.1 (LO 6.1.2 training/testing, 6.1.3 accuracy measures).</t>
        </is>
      </c>
      <c r="I17" s="5" t="inlineStr">
        <is>
          <t>In-scope</t>
        </is>
      </c>
      <c r="J17" s="5" t="inlineStr">
        <is>
          <t>3</t>
        </is>
      </c>
      <c r="K17" s="5" t="inlineStr">
        <is>
          <t>DS §6.1 LOs 6.1.2–6.1.4: training/testing roles, accuracy measures, overfitting.</t>
        </is>
      </c>
      <c r="L17" s="13" t="n"/>
      <c r="M17" s="13" t="inlineStr">
        <is>
          <t>Agree with the resolution</t>
        </is>
      </c>
    </row>
    <row r="18">
      <c r="A18" s="10" t="inlineStr">
        <is>
          <t>Q049</t>
        </is>
      </c>
      <c r="B18" s="10" t="inlineStr">
        <is>
          <t>How do encapsulation and abstraction work together in class design?</t>
        </is>
      </c>
      <c r="C18" s="10" t="inlineStr">
        <is>
          <t>Tangential</t>
        </is>
      </c>
      <c r="D18" s="10" t="inlineStr">
        <is>
          <t>Both are mentioned in SE book</t>
        </is>
      </c>
      <c r="E18" s="10" t="inlineStr">
        <is>
          <t>In-scope</t>
        </is>
      </c>
      <c r="F18" s="10" t="inlineStr">
        <is>
          <t>The Python OOP material explains abstraction and encapsulation in class design.</t>
        </is>
      </c>
      <c r="G18" s="10" t="inlineStr">
        <is>
          <t>A</t>
        </is>
      </c>
      <c r="H18" s="10" t="inlineStr">
        <is>
          <t>PY §11.1 both defined p.275,277.</t>
        </is>
      </c>
      <c r="I18" s="5" t="inlineStr">
        <is>
          <t>In-scope</t>
        </is>
      </c>
      <c r="J18" s="5" t="inlineStr">
        <is>
          <t>3</t>
        </is>
      </c>
      <c r="K18" s="5" t="inlineStr">
        <is>
          <t>PY §11.1 defines and relates both (p.275–277) — Python book, not SE book.</t>
        </is>
      </c>
      <c r="L18" s="13" t="n"/>
      <c r="M18" s="13" t="inlineStr">
        <is>
          <t>Agree with the resolution</t>
        </is>
      </c>
    </row>
    <row r="19">
      <c r="A19" s="10" t="inlineStr">
        <is>
          <t>Q050</t>
        </is>
      </c>
      <c r="B19" s="10" t="inlineStr">
        <is>
          <t>Compare recursive and loop-based implementations of factorial: how does each work, and when is each preferable?</t>
        </is>
      </c>
      <c r="C19" s="10" t="inlineStr">
        <is>
          <t>Tangential</t>
        </is>
      </c>
      <c r="D19" s="10" t="n"/>
      <c r="E19" s="10" t="inlineStr">
        <is>
          <t>In-scope</t>
        </is>
      </c>
      <c r="F19" s="10" t="inlineStr">
        <is>
          <t>The Python text demonstrates recursive and loop-based factorial approaches.</t>
        </is>
      </c>
      <c r="G19" s="10" t="inlineStr">
        <is>
          <t>A</t>
        </is>
      </c>
      <c r="H19" s="10" t="inlineStr">
        <is>
          <t>PY §12.2 factorial recursion + ch.5 loops.</t>
        </is>
      </c>
      <c r="I19" s="5" t="inlineStr">
        <is>
          <t>In-scope</t>
        </is>
      </c>
      <c r="J19" s="5" t="inlineStr">
        <is>
          <t>3</t>
        </is>
      </c>
      <c r="K19" s="5" t="inlineStr">
        <is>
          <t>PY §12.2 recursive factorial + ch.5 loop equivalents; §12.1 discusses when recursion helps.</t>
        </is>
      </c>
      <c r="L19" s="13" t="n"/>
      <c r="M19" s="13" t="inlineStr">
        <is>
          <t>Agree with the resolution</t>
        </is>
      </c>
    </row>
    <row r="20">
      <c r="A20" s="10" t="inlineStr">
        <is>
          <t>Q051</t>
        </is>
      </c>
      <c r="B20" s="10" t="inlineStr">
        <is>
          <t>If two names point to the same container and I change it through one name, why does the other see the change?</t>
        </is>
      </c>
      <c r="C20" s="10" t="inlineStr">
        <is>
          <t>Tangential</t>
        </is>
      </c>
      <c r="D20" s="10" t="n"/>
      <c r="E20" s="10" t="inlineStr">
        <is>
          <t>In-scope</t>
        </is>
      </c>
      <c r="F20" s="10" t="inlineStr">
        <is>
          <t>Python aliasing and mutation of shared mutable objects are covered.</t>
        </is>
      </c>
      <c r="G20" s="10" t="inlineStr">
        <is>
          <t>A</t>
        </is>
      </c>
      <c r="H20" s="10" t="inlineStr">
        <is>
          <t>PY §3.3 p.79–80: 'multiple variables may refer to the same object' + memory diagrams.</t>
        </is>
      </c>
      <c r="I20" s="5" t="inlineStr">
        <is>
          <t>In-scope</t>
        </is>
      </c>
      <c r="J20" s="5" t="inlineStr">
        <is>
          <t>1+3</t>
        </is>
      </c>
      <c r="K20" s="5" t="inlineStr">
        <is>
          <t>PY §3.3: 'multiple variables may refer to the same object' + memory diagrams — exactly this question.</t>
        </is>
      </c>
      <c r="L20" s="13" t="n"/>
      <c r="M20" s="13" t="inlineStr">
        <is>
          <t>Agree with the resolution</t>
        </is>
      </c>
    </row>
    <row r="21" ht="15.75" customHeight="1" s="23">
      <c r="A21" s="10" t="inlineStr">
        <is>
          <t>Q052</t>
        </is>
      </c>
      <c r="B21" s="10" t="inlineStr">
        <is>
          <t>Why does my function give back nothing when I leave out a particular statement at the end?</t>
        </is>
      </c>
      <c r="C21" s="10" t="inlineStr">
        <is>
          <t>Out-of-scope</t>
        </is>
      </c>
      <c r="D21" s="10" t="n"/>
      <c r="E21" s="10" t="inlineStr">
        <is>
          <t>In-scope</t>
        </is>
      </c>
      <c r="F21" s="10" t="inlineStr">
        <is>
          <t>Python function return behaviour when return is omitted is covered.</t>
        </is>
      </c>
      <c r="G21" s="10" t="inlineStr">
        <is>
          <t>A</t>
        </is>
      </c>
      <c r="H21" s="10" t="inlineStr">
        <is>
          <t>PY §6.5 p.173–174: missing return = returns None.</t>
        </is>
      </c>
      <c r="I21" s="5" t="inlineStr">
        <is>
          <t>In-scope</t>
        </is>
      </c>
      <c r="J21" s="5" t="inlineStr">
        <is>
          <t>1+3</t>
        </is>
      </c>
      <c r="K21" s="5" t="inlineStr">
        <is>
          <t>PY §6.5 p.173–174: omitting return = returns None. Paraphrase judged on concept.</t>
        </is>
      </c>
      <c r="L21" s="13" t="n"/>
      <c r="M21" s="13" t="inlineStr">
        <is>
          <t>Agree with the resolution</t>
        </is>
      </c>
    </row>
    <row r="22" ht="15.75" customHeight="1" s="23">
      <c r="A22" s="10" t="inlineStr">
        <is>
          <t>Q053</t>
        </is>
      </c>
      <c r="B22" s="10" t="inlineStr">
        <is>
          <t>What mechanism lets me write a blueprint once and stamp out many working copies, each with its own data?</t>
        </is>
      </c>
      <c r="C22" s="10" t="inlineStr">
        <is>
          <t>Out-of-scope</t>
        </is>
      </c>
      <c r="D22" s="10" t="n"/>
      <c r="E22" s="10" t="inlineStr">
        <is>
          <t>In-scope</t>
        </is>
      </c>
      <c r="F22" s="10" t="inlineStr">
        <is>
          <t>Python classes and instances support the blueprint-and-independent-object explanation.</t>
        </is>
      </c>
      <c r="G22" s="10" t="inlineStr">
        <is>
          <t>A</t>
        </is>
      </c>
      <c r="H22" s="10" t="inlineStr">
        <is>
          <t>PY p.277: 'a class is a blueprint for creating objects'.</t>
        </is>
      </c>
      <c r="I22" s="5" t="inlineStr">
        <is>
          <t>In-scope</t>
        </is>
      </c>
      <c r="J22" s="5" t="inlineStr">
        <is>
          <t>1+3</t>
        </is>
      </c>
      <c r="K22" s="5" t="inlineStr">
        <is>
          <t>PY p.277: 'a class is a blueprint for creating objects' — near-verbatim answer.</t>
        </is>
      </c>
      <c r="L22" s="13" t="n"/>
      <c r="M22" s="13" t="inlineStr">
        <is>
          <t>Agree with the resolution</t>
        </is>
      </c>
    </row>
    <row r="23" ht="15.75" customHeight="1" s="23">
      <c r="A23" s="10" t="inlineStr">
        <is>
          <t>Q054</t>
        </is>
      </c>
      <c r="B23" s="10" t="inlineStr">
        <is>
          <t>Why is finding something by name in a phone-book-style structure faster than scanning a shopping list?</t>
        </is>
      </c>
      <c r="C23" s="10" t="inlineStr">
        <is>
          <t>Out-of-scope</t>
        </is>
      </c>
      <c r="D23" s="10" t="n"/>
      <c r="E23" s="10" t="inlineStr">
        <is>
          <t>In-scope</t>
        </is>
      </c>
      <c r="F23" s="10" t="inlineStr">
        <is>
          <t>The data-structures text explains faster keyed lookup versus linear scanning.</t>
        </is>
      </c>
      <c r="G23" s="10" t="inlineStr">
        <is>
          <t>A</t>
        </is>
      </c>
      <c r="H23" s="10" t="inlineStr">
        <is>
          <t>DS p.86 (key-value efficient retrieval) + ODS ch.5.</t>
        </is>
      </c>
      <c r="I23" s="5" t="inlineStr">
        <is>
          <t>In-scope</t>
        </is>
      </c>
      <c r="J23" s="5" t="inlineStr">
        <is>
          <t>1+3</t>
        </is>
      </c>
      <c r="K23" s="5" t="inlineStr">
        <is>
          <t>DS p.86 (key-value = efficient retrieval) + ODS ch.5 hashing analysis.</t>
        </is>
      </c>
      <c r="L23" s="13" t="n"/>
      <c r="M23" s="13" t="inlineStr">
        <is>
          <t>Agree with the resolution</t>
        </is>
      </c>
    </row>
    <row r="24" ht="15.75" customHeight="1" s="23">
      <c r="A24" s="10" t="inlineStr">
        <is>
          <t>Q057</t>
        </is>
      </c>
      <c r="B24" s="10" t="inlineStr">
        <is>
          <t>Why might a model ace the questions it studied but fail the real exam?</t>
        </is>
      </c>
      <c r="C24" s="10" t="inlineStr">
        <is>
          <t>Out-of-scope</t>
        </is>
      </c>
      <c r="D24" s="10" t="n"/>
      <c r="E24" s="10" t="inlineStr">
        <is>
          <t>In-scope</t>
        </is>
      </c>
      <c r="F24" s="10" t="inlineStr">
        <is>
          <t>The data-science text explains overfitting and validation on new data.</t>
        </is>
      </c>
      <c r="G24" s="10" t="inlineStr">
        <is>
          <t>A</t>
        </is>
      </c>
      <c r="H24" s="10" t="inlineStr">
        <is>
          <t>DS p.267: fits known data, fails future data.</t>
        </is>
      </c>
      <c r="I24" s="5" t="inlineStr">
        <is>
          <t>In-scope</t>
        </is>
      </c>
      <c r="J24" s="5" t="inlineStr">
        <is>
          <t>1+3</t>
        </is>
      </c>
      <c r="K24" s="5" t="inlineStr">
        <is>
          <t>DS p.267: fits known data, fails future data = overfitting. Concept rule.</t>
        </is>
      </c>
      <c r="L24" s="13" t="n"/>
      <c r="M24" s="13" t="inlineStr">
        <is>
          <t>Agree with the resolution</t>
        </is>
      </c>
    </row>
    <row r="25" ht="15.75" customHeight="1" s="23">
      <c r="A25" s="10" t="inlineStr">
        <is>
          <t>Q058</t>
        </is>
      </c>
      <c r="B25" s="10" t="inlineStr">
        <is>
          <t>What practice lets a team rewind their project to last week's working state?</t>
        </is>
      </c>
      <c r="C25" s="10" t="inlineStr">
        <is>
          <t>Out-of-scope</t>
        </is>
      </c>
      <c r="D25" s="10" t="n"/>
      <c r="E25" s="10" t="inlineStr">
        <is>
          <t>In-scope</t>
        </is>
      </c>
      <c r="F25" s="10" t="inlineStr">
        <is>
          <t>Version control is explained as tracking project history and recovering prior states.</t>
        </is>
      </c>
      <c r="G25" s="10" t="inlineStr">
        <is>
          <t>A</t>
        </is>
      </c>
      <c r="H25" s="10" t="inlineStr">
        <is>
          <t>DS p.480.</t>
        </is>
      </c>
      <c r="I25" s="5" t="inlineStr">
        <is>
          <t>In-scope</t>
        </is>
      </c>
      <c r="J25" s="5" t="inlineStr">
        <is>
          <t>1+3</t>
        </is>
      </c>
      <c r="K25" s="5" t="inlineStr">
        <is>
          <t>DS p.480: version control defined incl. recovering prior states. Concept rule.</t>
        </is>
      </c>
      <c r="L25" s="13" t="n"/>
      <c r="M25" s="13" t="inlineStr">
        <is>
          <t>Agree with the resolution</t>
        </is>
      </c>
    </row>
    <row r="26" ht="15.75" customHeight="1" s="23">
      <c r="A26" s="10" t="inlineStr">
        <is>
          <t>Q059</t>
        </is>
      </c>
      <c r="B26" s="10" t="inlineStr">
        <is>
          <t>Why do some approaches slow down disproportionately as the input grows, while others stay manageable?</t>
        </is>
      </c>
      <c r="C26" s="10" t="inlineStr">
        <is>
          <t>Out-of-scope</t>
        </is>
      </c>
      <c r="D26" s="10" t="n"/>
      <c r="E26" s="10" t="inlineStr">
        <is>
          <t>In-scope</t>
        </is>
      </c>
      <c r="F26" s="10" t="inlineStr">
        <is>
          <t>Explained by Open Data Structures coverage of running-time growth and asymptotic analysis.</t>
        </is>
      </c>
      <c r="G26" s="10" t="inlineStr">
        <is>
          <t>A</t>
        </is>
      </c>
      <c r="H26" s="10" t="inlineStr">
        <is>
          <t>ODS §1.3.3 + p.14 growth-rate reasoning.</t>
        </is>
      </c>
      <c r="I26" s="5" t="inlineStr">
        <is>
          <t>In-scope</t>
        </is>
      </c>
      <c r="J26" s="5" t="inlineStr">
        <is>
          <t>1+3</t>
        </is>
      </c>
      <c r="K26" s="5" t="inlineStr">
        <is>
          <t>ODS §1.3.3 asymptotics + p.14 growth-rate worked example. Concept rule.</t>
        </is>
      </c>
      <c r="L26" s="13" t="n"/>
      <c r="M26" s="13" t="inlineStr">
        <is>
          <t>Agree with the resolution</t>
        </is>
      </c>
    </row>
    <row r="27" ht="15.75" customHeight="1" s="23">
      <c r="A27" s="10" t="inlineStr">
        <is>
          <t>Q064</t>
        </is>
      </c>
      <c r="B27" s="10" t="inlineStr">
        <is>
          <t>How does CPython's garbage collector handle reference cycles?</t>
        </is>
      </c>
      <c r="C27" s="10" t="inlineStr">
        <is>
          <t>Tangential</t>
        </is>
      </c>
      <c r="D27" s="10" t="inlineStr">
        <is>
          <t>just one mention in DS book</t>
        </is>
      </c>
      <c r="E27" s="10" t="inlineStr">
        <is>
          <t>Out-of-scope</t>
        </is>
      </c>
      <c r="F27" s="10" t="inlineStr">
        <is>
          <t>CPython garbage collection and reference-cycle handling are not covered.</t>
        </is>
      </c>
      <c r="G27" s="10" t="inlineStr">
        <is>
          <t>B</t>
        </is>
      </c>
      <c r="H27" s="10" t="inlineStr">
        <is>
          <t>'Garbage collection' = literal trash bins in a smart-city example. No CPython GC.</t>
        </is>
      </c>
      <c r="I27" s="5" t="inlineStr">
        <is>
          <t>Tangential</t>
        </is>
      </c>
      <c r="J27" s="5" t="inlineStr">
        <is>
          <t>2</t>
        </is>
      </c>
      <c r="K27" s="5" t="inlineStr">
        <is>
          <t>Python objects/references taught (PY §3.3); CPython GC internals absent. Adjacent topic covered → Tangential.</t>
        </is>
      </c>
      <c r="L27" s="13" t="inlineStr">
        <is>
          <t>Out of scope, the objects/references are taught but not garbage collection, and CPython especially does garbage collection too differently for it to be considered tangential here.</t>
        </is>
      </c>
      <c r="M27" s="13" t="inlineStr">
        <is>
          <t>Agree that this should be out of scope</t>
        </is>
      </c>
    </row>
    <row r="28" ht="15.75" customHeight="1" s="23">
      <c r="A28" s="10" t="inlineStr">
        <is>
          <t>Q065</t>
        </is>
      </c>
      <c r="B28" s="10" t="inlineStr">
        <is>
          <t>What are Python descriptors and how do properties use them?</t>
        </is>
      </c>
      <c r="C28" s="10" t="inlineStr">
        <is>
          <t>Out-of-scope</t>
        </is>
      </c>
      <c r="D28" s="10" t="n"/>
      <c r="E28" s="10" t="inlineStr">
        <is>
          <t>Tangential</t>
        </is>
      </c>
      <c r="F28" s="10" t="inlineStr">
        <is>
          <t>Object-oriented features are covered, but Python descriptors and their relationship to properties are not.</t>
        </is>
      </c>
      <c r="G28" s="10" t="inlineStr">
        <is>
          <t>B</t>
        </is>
      </c>
      <c r="H28" s="10" t="inlineStr">
        <is>
          <t>Machine-verified absent (lexical, normalized, 4 books)</t>
        </is>
      </c>
      <c r="I28" s="5" t="inlineStr">
        <is>
          <t>Tangential</t>
        </is>
      </c>
      <c r="J28" s="5" t="inlineStr">
        <is>
          <t>2</t>
        </is>
      </c>
      <c r="K28" s="5" t="inlineStr">
        <is>
          <t>Python OOP/properties-adjacent material covered; descriptors absent → Tangential.</t>
        </is>
      </c>
      <c r="L28" s="13" t="n"/>
      <c r="M28" s="13" t="inlineStr">
        <is>
          <t>Agree with the resolution</t>
        </is>
      </c>
    </row>
    <row r="29" ht="15.75" customHeight="1" s="23">
      <c r="A29" s="10" t="inlineStr">
        <is>
          <t>Q068</t>
        </is>
      </c>
      <c r="B29" s="10" t="inlineStr">
        <is>
          <t>How does a B+ tree differ from a B tree for database indexing?</t>
        </is>
      </c>
      <c r="C29" s="10" t="inlineStr">
        <is>
          <t>Out-of-scope</t>
        </is>
      </c>
      <c r="D29" s="10" t="n"/>
      <c r="E29" s="10" t="inlineStr">
        <is>
          <t>In-scope</t>
        </is>
      </c>
      <c r="F29" s="10" t="inlineStr">
        <is>
          <t>Open Data Structures describes B+ trees in relation to B-trees and external-memory indexing.</t>
        </is>
      </c>
      <c r="G29" s="10" t="inlineStr">
        <is>
          <t>B</t>
        </is>
      </c>
      <c r="H29" s="15" t="inlineStr">
        <is>
          <t>M's basis is factually wrong: 'B+ tree' has ZERO hits in all four books (B-trees yes, ODS ch.14). Under the boundary rule below → Tangential.</t>
        </is>
      </c>
      <c r="I29" s="5" t="inlineStr">
        <is>
          <t>Tangential</t>
        </is>
      </c>
      <c r="J29" s="5" t="inlineStr">
        <is>
          <t>2+3</t>
        </is>
      </c>
      <c r="K29" s="5" t="inlineStr">
        <is>
          <t>B-trees taught in depth (ODS ch.14); 'B+ tree' has ZERO hits in all books (M's basis factually wrong) → Tangential.</t>
        </is>
      </c>
      <c r="L29" s="13" t="inlineStr">
        <is>
          <t>Incorrent. It is taught  properly in the book, there were zero hits because it is written as B then superscript + trees. There is also an illustration of the same present as well. Check §14.3 of the ODS book, present on page 311 of the pdf.</t>
        </is>
      </c>
      <c r="M29" s="13" t="inlineStr">
        <is>
          <t>Agree with the resolution of in-scope</t>
        </is>
      </c>
    </row>
    <row r="30" ht="15.75" customHeight="1" s="23">
      <c r="A30" s="10" t="inlineStr">
        <is>
          <t>Q070</t>
        </is>
      </c>
      <c r="B30" s="10" t="inlineStr">
        <is>
          <t>How does Timsort exploit pre-existing runs in real-world data?</t>
        </is>
      </c>
      <c r="C30" s="10" t="inlineStr">
        <is>
          <t>Out-of-scope</t>
        </is>
      </c>
      <c r="D30" s="10" t="n"/>
      <c r="E30" s="10" t="inlineStr">
        <is>
          <t>Tangential</t>
        </is>
      </c>
      <c r="F30" s="10" t="inlineStr">
        <is>
          <t>Sorting is covered, but Timsort’s exploitation of natural runs is not explained.</t>
        </is>
      </c>
      <c r="G30" s="10" t="inlineStr">
        <is>
          <t>B</t>
        </is>
      </c>
      <c r="H30" s="10" t="inlineStr">
        <is>
          <t>Machine-verified absent (lexical, normalized, 4 books)</t>
        </is>
      </c>
      <c r="I30" s="5" t="inlineStr">
        <is>
          <t>Tangential</t>
        </is>
      </c>
      <c r="J30" s="5" t="inlineStr">
        <is>
          <t>2</t>
        </is>
      </c>
      <c r="K30" s="5" t="inlineStr">
        <is>
          <t>Sorting covered extensively (ODS ch.11); Timsort absent → Tangential.</t>
        </is>
      </c>
      <c r="L30" s="13" t="n"/>
      <c r="M30" s="13" t="inlineStr">
        <is>
          <t>Agree with the resolution</t>
        </is>
      </c>
    </row>
    <row r="31" ht="15.75" customHeight="1" s="23">
      <c r="A31" s="10" t="inlineStr">
        <is>
          <t>Q071</t>
        </is>
      </c>
      <c r="B31" s="10" t="inlineStr">
        <is>
          <t>How do residual connections (as in ResNets) mitigate the vanishing-gradient problem in very deep networks?</t>
        </is>
      </c>
      <c r="C31" s="10" t="inlineStr">
        <is>
          <t>Tangential</t>
        </is>
      </c>
      <c r="D31" s="10" t="n"/>
      <c r="E31" s="10" t="inlineStr">
        <is>
          <t>Out-of-scope</t>
        </is>
      </c>
      <c r="F31" s="10" t="inlineStr">
        <is>
          <t>Residual connections and ResNets are not covered.</t>
        </is>
      </c>
      <c r="G31" s="10" t="inlineStr">
        <is>
          <t>B</t>
        </is>
      </c>
      <c r="H31" s="15" t="inlineStr">
        <is>
          <t>Vanishing gradients ARE covered (DS, 4 pages); ResNets absent. Under the boundary rule → Tangential (V's label).</t>
        </is>
      </c>
      <c r="I31" s="5" t="inlineStr">
        <is>
          <t>Tangential</t>
        </is>
      </c>
      <c r="J31" s="5" t="inlineStr">
        <is>
          <t>2+3</t>
        </is>
      </c>
      <c r="K31" s="5" t="inlineStr">
        <is>
          <t>Vanishing gradients covered (DS, 4 pages); ResNets absent → Tangential.</t>
        </is>
      </c>
      <c r="L31" s="13" t="inlineStr">
        <is>
          <t>Agreed</t>
        </is>
      </c>
      <c r="M31" s="13" t="n"/>
    </row>
    <row r="32" ht="15.75" customHeight="1" s="23">
      <c r="A32" s="10" t="inlineStr">
        <is>
          <t>Q076</t>
        </is>
      </c>
      <c r="B32" s="10" t="inlineStr">
        <is>
          <t>How do you configure a CI/CD pipeline for releasing a Python package?</t>
        </is>
      </c>
      <c r="C32" s="10" t="inlineStr">
        <is>
          <t>Out-of-scope</t>
        </is>
      </c>
      <c r="D32" s="10" t="n"/>
      <c r="E32" s="10" t="inlineStr">
        <is>
          <t>Tangential</t>
        </is>
      </c>
      <c r="F32" s="10" t="inlineStr">
        <is>
          <t>The texts discuss Python and version control, but not configuring a release CI/CD pipeline.</t>
        </is>
      </c>
      <c r="G32" s="10" t="inlineStr">
        <is>
          <t>B</t>
        </is>
      </c>
      <c r="H32" s="10" t="inlineStr">
        <is>
          <t>Machine-verified absent (lexical, normalized, 4 books)</t>
        </is>
      </c>
      <c r="I32" s="5" t="inlineStr">
        <is>
          <t>Tangential</t>
        </is>
      </c>
      <c r="J32" s="5" t="inlineStr">
        <is>
          <t>2</t>
        </is>
      </c>
      <c r="K32" s="5" t="inlineStr">
        <is>
          <t>SE process/release practices covered; CI/CD absent → Tangential.</t>
        </is>
      </c>
      <c r="L32" s="13" t="n"/>
      <c r="M32" s="13" t="inlineStr">
        <is>
          <t>Agree with the resolution</t>
        </is>
      </c>
    </row>
    <row r="33" ht="15.75" customHeight="1" s="23">
      <c r="A33" s="10" t="inlineStr">
        <is>
          <t>Q080</t>
        </is>
      </c>
      <c r="B33" s="10" t="inlineStr">
        <is>
          <t>How does NumPy's stride-based memory layout enable broadcasting?</t>
        </is>
      </c>
      <c r="C33" s="10" t="inlineStr">
        <is>
          <t>Out-of-scope</t>
        </is>
      </c>
      <c r="D33" s="10" t="n"/>
      <c r="E33" s="10" t="inlineStr">
        <is>
          <t>Tangential</t>
        </is>
      </c>
      <c r="F33" s="10" t="inlineStr">
        <is>
          <t>NumPy is covered, but stride-based memory layout and its role in broadcasting are not explained.</t>
        </is>
      </c>
      <c r="G33" s="10" t="inlineStr">
        <is>
          <t>B</t>
        </is>
      </c>
      <c r="H33" s="10" t="inlineStr">
        <is>
          <t>Machine-verified absent (lexical, normalized, 4 books)</t>
        </is>
      </c>
      <c r="I33" s="5" t="inlineStr">
        <is>
          <t>Tangential</t>
        </is>
      </c>
      <c r="J33" s="5" t="inlineStr">
        <is>
          <t>2</t>
        </is>
      </c>
      <c r="K33" s="5" t="inlineStr">
        <is>
          <t>NumPy taught (PY §15.2); strides/broadcasting internals absent → Tangential.</t>
        </is>
      </c>
      <c r="M33" s="13" t="inlineStr">
        <is>
          <t>Agree with the resolution</t>
        </is>
      </c>
    </row>
    <row r="34" ht="15.75" customHeight="1" s="23">
      <c r="A34" s="10" t="inlineStr">
        <is>
          <t>Q097</t>
        </is>
      </c>
      <c r="B34" s="10" t="inlineStr">
        <is>
          <t>Based on the object-oriented programming chapter, what design patterns does the Unreal Engine source code use?</t>
        </is>
      </c>
      <c r="C34" s="10" t="inlineStr">
        <is>
          <t>Out-of-scope</t>
        </is>
      </c>
      <c r="D34" s="10" t="n"/>
      <c r="E34" s="10" t="inlineStr">
        <is>
          <t>Tangential</t>
        </is>
      </c>
      <c r="F34" s="10" t="inlineStr">
        <is>
          <t>The OOP material supports design-pattern concepts, but not an analysis of Unreal Engine source code.</t>
        </is>
      </c>
      <c r="G34" s="10" t="inlineStr">
        <is>
          <t>B</t>
        </is>
      </c>
      <c r="H34" s="10" t="inlineStr">
        <is>
          <t>Re-adjudicated: 'unreal' hit in SE is the word 'unrealistic'. Still absent.</t>
        </is>
      </c>
      <c r="I34" s="5" t="inlineStr">
        <is>
          <t>Out-of-scope</t>
        </is>
      </c>
      <c r="J34" s="5" t="inlineStr">
        <is>
          <t>2</t>
        </is>
      </c>
      <c r="K34" s="5" t="inlineStr">
        <is>
          <t>Premise targets external artifact (Unreal Engine source) → OOS despite OOP vocabulary.</t>
        </is>
      </c>
      <c r="L34" s="13" t="inlineStr">
        <is>
          <t>the question technically falls in both categories, better to reframe the question as per the label since Unreal Engine is not covered anywhere however the design patterns of OOP is covered. Hence this can be considered both tangential as well as out of scope based on user interpretation.</t>
        </is>
      </c>
      <c r="M34" s="13" t="n"/>
    </row>
    <row r="35" ht="15.75" customHeight="1" s="23">
      <c r="A35" s="10" t="inlineStr">
        <is>
          <t>Q098</t>
        </is>
      </c>
      <c r="B35" s="10" t="inlineStr">
        <is>
          <t>Given the corpus's coverage of binary search, what is the exact implementation of Java's Arrays.binarySearch?</t>
        </is>
      </c>
      <c r="C35" s="10" t="inlineStr">
        <is>
          <t>Out-of-scope</t>
        </is>
      </c>
      <c r="D35" s="10" t="n"/>
      <c r="E35" s="10" t="inlineStr">
        <is>
          <t>Tangential</t>
        </is>
      </c>
      <c r="F35" s="10" t="inlineStr">
        <is>
          <t>Binary search is covered, but Java Arrays.binarySearch implementation details are not.</t>
        </is>
      </c>
      <c r="G35" s="10" t="inlineStr">
        <is>
          <t>B</t>
        </is>
      </c>
      <c r="H35" s="10" t="inlineStr">
        <is>
          <t>Java appears only in hello-world comparison; Arrays.binarySearch absent.</t>
        </is>
      </c>
      <c r="I35" s="5" t="inlineStr">
        <is>
          <t>Out-of-scope</t>
        </is>
      </c>
      <c r="J35" s="5" t="inlineStr">
        <is>
          <t>2</t>
        </is>
      </c>
      <c r="K35" s="5" t="inlineStr">
        <is>
          <t>Premise targets external artifact (Java stdlib implementation) → OOS.</t>
        </is>
      </c>
      <c r="L35" s="13" t="inlineStr">
        <is>
          <t>Again, on a technicality it is out of scope, however the core concept of how binary search works is covered, just the exact implementation to the T for java's binary search is not covered. I suggest tangential.</t>
        </is>
      </c>
      <c r="M35" s="13" t="inlineStr">
        <is>
          <t>Agree with marking this as Tangential</t>
        </is>
      </c>
    </row>
    <row r="36" ht="15.75" customHeight="1" s="23">
      <c r="A36" s="10" t="inlineStr">
        <is>
          <t>Q099</t>
        </is>
      </c>
      <c r="B36" s="10" t="inlineStr">
        <is>
          <t>Applying the data-cleaning workflow from the textbook, how should MRI scans be preprocessed for a radiology pipeline?</t>
        </is>
      </c>
      <c r="C36" s="10" t="inlineStr">
        <is>
          <t>Out-of-scope</t>
        </is>
      </c>
      <c r="D36" s="10" t="n"/>
      <c r="E36" s="10" t="inlineStr">
        <is>
          <t>Tangential</t>
        </is>
      </c>
      <c r="F36" s="10" t="inlineStr">
        <is>
          <t>Data cleaning is covered, but MRI-specific radiology preprocessing is not.</t>
        </is>
      </c>
      <c r="G36" s="10" t="inlineStr">
        <is>
          <t>B</t>
        </is>
      </c>
      <c r="H36" s="10" t="inlineStr">
        <is>
          <t>Machine-verified absent (lexical, normalized, 4 books)</t>
        </is>
      </c>
      <c r="I36" s="5" t="inlineStr">
        <is>
          <t>Out-of-scope</t>
        </is>
      </c>
      <c r="J36" s="5" t="inlineStr">
        <is>
          <t>2</t>
        </is>
      </c>
      <c r="K36" s="5" t="inlineStr">
        <is>
          <t>Premise targets external domain (MRI/radiology) → OOS despite workflow vocabulary.</t>
        </is>
      </c>
      <c r="L36" s="13" t="inlineStr">
        <is>
          <t>Again, the core concept is covered. however this particular question i feel falls more on the out of scope end.</t>
        </is>
      </c>
      <c r="M36" s="13" t="n"/>
    </row>
    <row r="37" ht="15.75" customHeight="1" s="23">
      <c r="A37" s="10" t="inlineStr">
        <is>
          <t>Q100</t>
        </is>
      </c>
      <c r="B37" s="10" t="inlineStr">
        <is>
          <t>Using the machine learning basics chapter, explain GPT-4's mixture-of-experts architecture.</t>
        </is>
      </c>
      <c r="C37" s="10" t="inlineStr">
        <is>
          <t>Out-of-scope</t>
        </is>
      </c>
      <c r="D37" s="10" t="n"/>
      <c r="E37" s="10" t="inlineStr">
        <is>
          <t>Tangential</t>
        </is>
      </c>
      <c r="F37" s="10" t="inlineStr">
        <is>
          <t>Machine-learning basics are covered, but GPT-4 mixture-of-experts architecture is not.</t>
        </is>
      </c>
      <c r="G37" s="10" t="inlineStr">
        <is>
          <t>B</t>
        </is>
      </c>
      <c r="H37" s="10" t="inlineStr">
        <is>
          <t>GPT-4 name-dropped in NLP history (Table 7.3); mixture-of-experts absent.</t>
        </is>
      </c>
      <c r="I37" s="5" t="inlineStr">
        <is>
          <t>Out-of-scope</t>
        </is>
      </c>
      <c r="J37" s="5" t="inlineStr">
        <is>
          <t>2</t>
        </is>
      </c>
      <c r="K37" s="5" t="inlineStr">
        <is>
          <t>Premise targets external artifact (GPT-4 architecture) → OOS.</t>
        </is>
      </c>
      <c r="L37" s="13" t="inlineStr">
        <is>
          <t>Yet again, because of how the question is framed it is ambiguous, ML is covered but the exact GPT arch is not covered. Could be considered both, I suggest tangential.</t>
        </is>
      </c>
      <c r="M37" s="13" t="n"/>
    </row>
    <row r="38" ht="15.75" customHeight="1" s="23">
      <c r="A38" s="10" t="inlineStr">
        <is>
          <t>Q119</t>
        </is>
      </c>
      <c r="B38" s="10" t="inlineStr">
        <is>
          <t>What is technical debt and how does it accumulate?</t>
        </is>
      </c>
      <c r="C38" s="10" t="inlineStr">
        <is>
          <t>Tangential</t>
        </is>
      </c>
      <c r="D38" s="10" t="inlineStr">
        <is>
          <t>just mentions in SE book</t>
        </is>
      </c>
      <c r="E38" s="10" t="inlineStr">
        <is>
          <t>In-scope</t>
        </is>
      </c>
      <c r="F38" s="10" t="inlineStr">
        <is>
          <t>Covered directly: the handbook explains technical debt, how poor decisions accumulate it, and refactoring as repayment.</t>
        </is>
      </c>
      <c r="G38" s="10" t="inlineStr">
        <is>
          <t>A</t>
        </is>
      </c>
      <c r="H38" s="10" t="inlineStr">
        <is>
          <t>SE p.74 (case study) + p.94.</t>
        </is>
      </c>
      <c r="I38" s="5" t="inlineStr">
        <is>
          <t>In-scope</t>
        </is>
      </c>
      <c r="J38" s="5" t="inlineStr">
        <is>
          <t>3</t>
        </is>
      </c>
      <c r="K38" s="5" t="inlineStr">
        <is>
          <t>SE glossary defines technical debt; p.94 explains accumulation via sloppy code; p.74 case study.</t>
        </is>
      </c>
      <c r="L38" s="13" t="n"/>
      <c r="M38" s="13" t="inlineStr">
        <is>
          <t>Agree with the resolution</t>
        </is>
      </c>
    </row>
    <row r="39" ht="15.75" customHeight="1" s="23">
      <c r="A39" s="10" t="inlineStr">
        <is>
          <t>Q123</t>
        </is>
      </c>
      <c r="B39" s="10" t="inlineStr">
        <is>
          <t>Compare arrays and linked lists for insertion, deletion, and random access complexity.</t>
        </is>
      </c>
      <c r="C39" s="10" t="inlineStr">
        <is>
          <t>Tangential</t>
        </is>
      </c>
      <c r="D39" s="10" t="n"/>
      <c r="E39" s="10" t="inlineStr">
        <is>
          <t>In-scope</t>
        </is>
      </c>
      <c r="F39" s="10" t="inlineStr">
        <is>
          <t>Array and linked-list insertion, deletion, access, and running times are covered.</t>
        </is>
      </c>
      <c r="G39" s="10" t="inlineStr">
        <is>
          <t>A</t>
        </is>
      </c>
      <c r="H39" s="10" t="inlineStr">
        <is>
          <t>ODS chs.2–3 with per-structure complexity summaries.</t>
        </is>
      </c>
      <c r="I39" s="5" t="inlineStr">
        <is>
          <t>In-scope</t>
        </is>
      </c>
      <c r="J39" s="5" t="inlineStr">
        <is>
          <t>3</t>
        </is>
      </c>
      <c r="K39" s="5" t="inlineStr">
        <is>
          <t>ODS chs.2–3 give per-operation running times for array-based and linked lists.</t>
        </is>
      </c>
      <c r="L39" s="13" t="n"/>
      <c r="M39" s="13" t="inlineStr">
        <is>
          <t>Agree with the resolution</t>
        </is>
      </c>
    </row>
    <row r="40" ht="15.75" customHeight="1" s="23">
      <c r="A40" s="10" t="inlineStr">
        <is>
          <t>Q124</t>
        </is>
      </c>
      <c r="B40" s="10" t="inlineStr">
        <is>
          <t>Why does a hash table offer O(1) expected lookup while a binary search tree offers O(log n), and when would you still prefer the tree?</t>
        </is>
      </c>
      <c r="C40" s="10" t="inlineStr">
        <is>
          <t>Tangential</t>
        </is>
      </c>
      <c r="D40" s="10" t="n"/>
      <c r="E40" s="10" t="inlineStr">
        <is>
          <t>In-scope</t>
        </is>
      </c>
      <c r="F40" s="10" t="inlineStr">
        <is>
          <t>Hash tables and binary search trees are covered with their expected lookup trade-offs.</t>
        </is>
      </c>
      <c r="G40" s="10" t="inlineStr">
        <is>
          <t>A</t>
        </is>
      </c>
      <c r="H40" s="10" t="inlineStr">
        <is>
          <t>ODS ch.5 + §6.2 + p.21 (USet vs SSet guidance).</t>
        </is>
      </c>
      <c r="I40" s="5" t="inlineStr">
        <is>
          <t>In-scope</t>
        </is>
      </c>
      <c r="J40" s="5" t="inlineStr">
        <is>
          <t>3</t>
        </is>
      </c>
      <c r="K40" s="5" t="inlineStr">
        <is>
          <t>ODS ch.5 (expected O(1)) + §6.2/ch.9 (O(log n)) + p.21 USet-vs-SSet guidance (when to prefer tree).</t>
        </is>
      </c>
      <c r="L40" s="13" t="n"/>
      <c r="M40" s="13" t="inlineStr">
        <is>
          <t>Agree with the resolution</t>
        </is>
      </c>
    </row>
    <row r="41" ht="15.75" customHeight="1" s="23">
      <c r="A41" s="10" t="inlineStr">
        <is>
          <t>Q125</t>
        </is>
      </c>
      <c r="B41" s="10" t="inlineStr">
        <is>
          <t>Compare merge sort and quicksort in worst-case behaviour and memory use.</t>
        </is>
      </c>
      <c r="C41" s="10" t="inlineStr">
        <is>
          <t>Tangential</t>
        </is>
      </c>
      <c r="D41" s="10" t="inlineStr">
        <is>
          <t>few mentions in ODS book</t>
        </is>
      </c>
      <c r="E41" s="10" t="inlineStr">
        <is>
          <t>In-scope</t>
        </is>
      </c>
      <c r="F41" s="10" t="inlineStr">
        <is>
          <t>Merge sort and quicksort are covered with time and space behaviour.</t>
        </is>
      </c>
      <c r="G41" s="10" t="inlineStr">
        <is>
          <t>A</t>
        </is>
      </c>
      <c r="H41" s="10" t="inlineStr">
        <is>
          <t>ODS §11.1 explicit comparisons incl. lower bound.</t>
        </is>
      </c>
      <c r="I41" s="5" t="inlineStr">
        <is>
          <t>In-scope</t>
        </is>
      </c>
      <c r="J41" s="5" t="inlineStr">
        <is>
          <t>3</t>
        </is>
      </c>
      <c r="K41" s="5" t="inlineStr">
        <is>
          <t>ODS §11.1 treats merge/quick incl. worst cases, in-place vs auxiliary array, lower bound.</t>
        </is>
      </c>
      <c r="L41" s="13" t="n"/>
      <c r="M41" s="13" t="inlineStr">
        <is>
          <t>Agree with the resolution</t>
        </is>
      </c>
    </row>
    <row r="42" ht="15.75" customHeight="1" s="23">
      <c r="A42" s="10" t="inlineStr">
        <is>
          <t>Q127</t>
        </is>
      </c>
      <c r="B42" s="10" t="inlineStr">
        <is>
          <t>Why does adding an item to a resizable array occasionally cost far more than usual, yet stay cheap on average?</t>
        </is>
      </c>
      <c r="C42" s="10" t="inlineStr">
        <is>
          <t>Tangential</t>
        </is>
      </c>
      <c r="D42" s="10" t="n"/>
      <c r="E42" s="10" t="inlineStr">
        <is>
          <t>In-scope</t>
        </is>
      </c>
      <c r="F42" s="10" t="inlineStr">
        <is>
          <t>Resizable-array amortised costs are explained in Open Data Structures.</t>
        </is>
      </c>
      <c r="G42" s="10" t="inlineStr">
        <is>
          <t>A</t>
        </is>
      </c>
      <c r="H42" s="10" t="inlineStr">
        <is>
          <t>ODS §2.1.2 growing/shrinking + p.45 resize().</t>
        </is>
      </c>
      <c r="I42" s="5" t="inlineStr">
        <is>
          <t>In-scope</t>
        </is>
      </c>
      <c r="J42" s="5" t="inlineStr">
        <is>
          <t>1+3</t>
        </is>
      </c>
      <c r="K42" s="5" t="inlineStr">
        <is>
          <t>ODS §2.1.2 + p.45: resize() cost and amortized argument — exactly this question.</t>
        </is>
      </c>
      <c r="L42" s="13" t="n"/>
      <c r="M42" s="13" t="inlineStr">
        <is>
          <t>Agree with the resolution</t>
        </is>
      </c>
    </row>
    <row r="43" ht="15.75" customHeight="1" s="23">
      <c r="A43" s="10" t="inlineStr">
        <is>
          <t>Q128</t>
        </is>
      </c>
      <c r="B43" s="10" t="inlineStr">
        <is>
          <t>What do we call the IOU a team accrues when it ships quick-and-dirty code to meet a deadline?</t>
        </is>
      </c>
      <c r="C43" s="10" t="inlineStr">
        <is>
          <t>Out-of-scope</t>
        </is>
      </c>
      <c r="D43" s="10" t="n"/>
      <c r="E43" s="10" t="inlineStr">
        <is>
          <t>In-scope</t>
        </is>
      </c>
      <c r="F43" s="10" t="inlineStr">
        <is>
          <t>Covered directly: the handbook defines technical debt and explains that sloppy/quick decisions create future work.</t>
        </is>
      </c>
      <c r="G43" s="10" t="inlineStr">
        <is>
          <t>A</t>
        </is>
      </c>
      <c r="H43" s="10" t="inlineStr">
        <is>
          <t>SE p.94.</t>
        </is>
      </c>
      <c r="I43" s="5" t="inlineStr">
        <is>
          <t>In-scope</t>
        </is>
      </c>
      <c r="J43" s="5" t="inlineStr">
        <is>
          <t>1+3</t>
        </is>
      </c>
      <c r="K43" s="5" t="inlineStr">
        <is>
          <t>SE p.94 technical-debt accumulation. Paraphrase judged on concept.</t>
        </is>
      </c>
      <c r="L43" s="13" t="n"/>
      <c r="M43" s="13" t="inlineStr">
        <is>
          <t>Agree with the resolution</t>
        </is>
      </c>
    </row>
    <row r="44" ht="15.75" customHeight="1" s="23">
      <c r="A44" s="10" t="inlineStr">
        <is>
          <t>Q129</t>
        </is>
      </c>
      <c r="B44" s="10" t="inlineStr">
        <is>
          <t>What do we call the fictional characters teams invent to stand in for typical users?</t>
        </is>
      </c>
      <c r="C44" s="10" t="inlineStr">
        <is>
          <t>Out-of-scope</t>
        </is>
      </c>
      <c r="D44" s="10" t="n"/>
      <c r="E44" s="10" t="inlineStr">
        <is>
          <t>In-scope</t>
        </is>
      </c>
      <c r="F44" s="10" t="inlineStr">
        <is>
          <t>The handbook covers personas as representations of typical users.</t>
        </is>
      </c>
      <c r="G44" s="10" t="inlineStr">
        <is>
          <t>A</t>
        </is>
      </c>
      <c r="H44" s="10" t="inlineStr">
        <is>
          <t>SE §7.2 Inclusivity heuristics personas + p.50.</t>
        </is>
      </c>
      <c r="I44" s="5" t="inlineStr">
        <is>
          <t>In-scope</t>
        </is>
      </c>
      <c r="J44" s="5" t="inlineStr">
        <is>
          <t>1+3</t>
        </is>
      </c>
      <c r="K44" s="5" t="inlineStr">
        <is>
          <t>SE §7.2 personas defined as stand-ins for users. Concept rule.</t>
        </is>
      </c>
      <c r="L44" s="13" t="n"/>
      <c r="M44" s="13" t="inlineStr">
        <is>
          <t>Agree with the resolution</t>
        </is>
      </c>
    </row>
    <row r="45" ht="15.75" customHeight="1" s="23">
      <c r="A45" s="10" t="inlineStr">
        <is>
          <t>Q130</t>
        </is>
      </c>
      <c r="B45" s="10" t="inlineStr">
        <is>
          <t>How can you sort numbers without ever comparing two of them against each other?</t>
        </is>
      </c>
      <c r="C45" s="10" t="inlineStr">
        <is>
          <t>Tangential</t>
        </is>
      </c>
      <c r="D45" s="10" t="n"/>
      <c r="E45" s="10" t="inlineStr">
        <is>
          <t>In-scope</t>
        </is>
      </c>
      <c r="F45" s="10" t="inlineStr">
        <is>
          <t>Non-comparison sorting methods are covered in the data-structures text.</t>
        </is>
      </c>
      <c r="G45" s="10" t="inlineStr">
        <is>
          <t>A</t>
        </is>
      </c>
      <c r="H45" s="10" t="inlineStr">
        <is>
          <t>ODS §11.2 p.243: 'not comparison-based'.</t>
        </is>
      </c>
      <c r="I45" s="5" t="inlineStr">
        <is>
          <t>In-scope</t>
        </is>
      </c>
      <c r="J45" s="5" t="inlineStr">
        <is>
          <t>1+3</t>
        </is>
      </c>
      <c r="K45" s="5" t="inlineStr">
        <is>
          <t>ODS §11.2 p.243: counting/radix 'not comparison-based'. Concept rule.</t>
        </is>
      </c>
      <c r="L45" s="13" t="n"/>
      <c r="M45" s="13" t="inlineStr">
        <is>
          <t>Agree with the resolution</t>
        </is>
      </c>
    </row>
    <row r="46" ht="15.75" customHeight="1" s="23">
      <c r="A46" s="10" t="inlineStr">
        <is>
          <t>Q132</t>
        </is>
      </c>
      <c r="B46" s="10" t="inlineStr">
        <is>
          <t>How does Kanban limit work in progress compared to Scrum?</t>
        </is>
      </c>
      <c r="C46" s="10" t="inlineStr">
        <is>
          <t>Out-of-scope</t>
        </is>
      </c>
      <c r="D46" s="10" t="n"/>
      <c r="E46" s="10" t="inlineStr">
        <is>
          <t>Tangential</t>
        </is>
      </c>
      <c r="F46" s="10" t="inlineStr">
        <is>
          <t>Scrum is covered, but Kanban WIP limits and their comparison are not.</t>
        </is>
      </c>
      <c r="G46" s="10" t="inlineStr">
        <is>
          <t>B</t>
        </is>
      </c>
      <c r="H46" s="10" t="inlineStr">
        <is>
          <t>Machine-verified absent (lexical, normalized, 4 books)</t>
        </is>
      </c>
      <c r="I46" s="5" t="inlineStr">
        <is>
          <t>Tangential</t>
        </is>
      </c>
      <c r="J46" s="5" t="inlineStr">
        <is>
          <t>2</t>
        </is>
      </c>
      <c r="K46" s="5" t="inlineStr">
        <is>
          <t>Scrum covered (SE §1.2); Kanban absent → Tangential.</t>
        </is>
      </c>
      <c r="L46" s="13" t="n"/>
      <c r="M46" s="13" t="inlineStr">
        <is>
          <t>Agree with the resolution</t>
        </is>
      </c>
    </row>
    <row r="47" ht="15.75" customHeight="1" s="23">
      <c r="A47" s="10" t="inlineStr">
        <is>
          <t>Q134</t>
        </is>
      </c>
      <c r="B47" s="10" t="inlineStr">
        <is>
          <t>How does mutation testing measure test-suite quality?</t>
        </is>
      </c>
      <c r="C47" s="10" t="inlineStr">
        <is>
          <t>Out-of-scope</t>
        </is>
      </c>
      <c r="D47" s="10" t="n"/>
      <c r="E47" s="10" t="inlineStr">
        <is>
          <t>Tangential</t>
        </is>
      </c>
      <c r="F47" s="10" t="inlineStr">
        <is>
          <t>Testing is discussed, but mutation testing as a test-suite-quality measure is not explained.</t>
        </is>
      </c>
      <c r="G47" s="10" t="inlineStr">
        <is>
          <t>B</t>
        </is>
      </c>
      <c r="H47" s="10" t="inlineStr">
        <is>
          <t>Machine-verified absent (lexical, normalized, 4 books)</t>
        </is>
      </c>
      <c r="I47" s="5" t="inlineStr">
        <is>
          <t>Tangential</t>
        </is>
      </c>
      <c r="J47" s="5" t="inlineStr">
        <is>
          <t>2</t>
        </is>
      </c>
      <c r="K47" s="5" t="inlineStr">
        <is>
          <t>Testing is an SDLC stage (SE §1.1); mutation testing absent → Tangential.</t>
        </is>
      </c>
      <c r="L47" s="13" t="n"/>
      <c r="M47" s="13" t="inlineStr">
        <is>
          <t>Agree with the resolution</t>
        </is>
      </c>
    </row>
    <row r="48" ht="15.75" customHeight="1" s="23">
      <c r="A48" s="10" t="inlineStr">
        <is>
          <t>Q135</t>
        </is>
      </c>
      <c r="B48" s="10" t="inlineStr">
        <is>
          <t>What does code coverage measure, and what are its limitations?</t>
        </is>
      </c>
      <c r="C48" s="10" t="inlineStr">
        <is>
          <t>Out-of-scope</t>
        </is>
      </c>
      <c r="D48" s="10" t="n"/>
      <c r="E48" s="10" t="inlineStr">
        <is>
          <t>Tangential</t>
        </is>
      </c>
      <c r="F48" s="10" t="inlineStr">
        <is>
          <t>Testing is discussed, but code coverage and its limitations are not explained.</t>
        </is>
      </c>
      <c r="G48" s="10" t="inlineStr">
        <is>
          <t>B</t>
        </is>
      </c>
      <c r="H48" s="10" t="inlineStr">
        <is>
          <t>Machine-verified absent (lexical, normalized, 4 books)</t>
        </is>
      </c>
      <c r="I48" s="5" t="inlineStr">
        <is>
          <t>Tangential</t>
        </is>
      </c>
      <c r="J48" s="5" t="inlineStr">
        <is>
          <t>2</t>
        </is>
      </c>
      <c r="K48" s="5" t="inlineStr">
        <is>
          <t>Testing covered as SDLC stage; code coverage absent → Tangential.</t>
        </is>
      </c>
      <c r="L48" s="13" t="n"/>
      <c r="M48" s="13" t="inlineStr">
        <is>
          <t>Agree with the resolution</t>
        </is>
      </c>
    </row>
    <row r="49" ht="15.75" customHeight="1" s="23">
      <c r="A49" s="10" t="inlineStr">
        <is>
          <t>Q137</t>
        </is>
      </c>
      <c r="B49" s="10" t="inlineStr">
        <is>
          <t>How is a sprint burndown chart constructed and read?</t>
        </is>
      </c>
      <c r="C49" s="10" t="inlineStr">
        <is>
          <t>Out-of-scope</t>
        </is>
      </c>
      <c r="D49" s="10" t="n"/>
      <c r="E49" s="10" t="inlineStr">
        <is>
          <t>Tangential</t>
        </is>
      </c>
      <c r="F49" s="10" t="inlineStr">
        <is>
          <t>Scrum is covered, but construction and interpretation of sprint burndown charts are not.</t>
        </is>
      </c>
      <c r="G49" s="10" t="inlineStr">
        <is>
          <t>B</t>
        </is>
      </c>
      <c r="H49" s="10" t="inlineStr">
        <is>
          <t>'Sprint' covered (50 mentions in SE); burndown charts verified absent.</t>
        </is>
      </c>
      <c r="I49" s="5" t="inlineStr">
        <is>
          <t>Tangential</t>
        </is>
      </c>
      <c r="J49" s="5" t="inlineStr">
        <is>
          <t>2</t>
        </is>
      </c>
      <c r="K49" s="5" t="inlineStr">
        <is>
          <t>Sprints covered (50 mentions); burndown charts absent → Tangential.</t>
        </is>
      </c>
      <c r="L49" s="13" t="n"/>
      <c r="M49" s="13" t="inlineStr">
        <is>
          <t>Agree with the resolution</t>
        </is>
      </c>
    </row>
    <row r="50" ht="15.75" customHeight="1" s="23">
      <c r="A50" s="10" t="inlineStr">
        <is>
          <t>Q138</t>
        </is>
      </c>
      <c r="B50" s="10" t="inlineStr">
        <is>
          <t>How does dynamic programming differ from divide-and-conquer?</t>
        </is>
      </c>
      <c r="C50" s="10" t="inlineStr">
        <is>
          <t>Tangential</t>
        </is>
      </c>
      <c r="D50" s="10" t="inlineStr">
        <is>
          <t>just mentions in ODS book</t>
        </is>
      </c>
      <c r="E50" s="10" t="inlineStr">
        <is>
          <t>Out-of-scope</t>
        </is>
      </c>
      <c r="F50" s="10" t="inlineStr">
        <is>
          <t>Dynamic programming and a comparison with divide-and-conquer are not covered.</t>
        </is>
      </c>
      <c r="G50" s="10" t="inlineStr">
        <is>
          <t>B</t>
        </is>
      </c>
      <c r="H50" s="10" t="inlineStr">
        <is>
          <t>Machine-verified absent (lexical, normalized, 4 books)</t>
        </is>
      </c>
      <c r="I50" s="5" t="inlineStr">
        <is>
          <t>Tangential</t>
        </is>
      </c>
      <c r="J50" s="5" t="inlineStr">
        <is>
          <t>2+3</t>
        </is>
      </c>
      <c r="K50" s="5" t="inlineStr">
        <is>
          <t>Recursion/divide-style algorithms covered (merge sort); 'dynamic programming' has zero hits (V's 'mentions' unsupported) → Tangential.</t>
        </is>
      </c>
      <c r="L50" s="13" t="inlineStr">
        <is>
          <t>Out of scope, divide and conquer is present but there is absolutely no mention of DP, hence no comparison and differences can be withdrawn, however again if our criteria for tangential is that the question could be somewhat understood then this falls in tangential as D&amp;C is covered, but if you look at what the question asks this should be OOS.</t>
        </is>
      </c>
      <c r="M50" s="13" t="inlineStr">
        <is>
          <t>Agree with Out of scope</t>
        </is>
      </c>
    </row>
    <row r="51" ht="15.75" customHeight="1" s="23">
      <c r="A51" s="10" t="inlineStr">
        <is>
          <t>Q139</t>
        </is>
      </c>
      <c r="B51" s="10" t="inlineStr">
        <is>
          <t>How does Dijkstra's algorithm compute shortest paths with a priority queue?</t>
        </is>
      </c>
      <c r="C51" s="10" t="inlineStr">
        <is>
          <t>Out-of-scope</t>
        </is>
      </c>
      <c r="D51" s="10" t="n"/>
      <c r="E51" s="10" t="inlineStr">
        <is>
          <t>Tangential</t>
        </is>
      </c>
      <c r="F51" s="10" t="inlineStr">
        <is>
          <t>Dijkstra and priority-queue use are covered, but the full shortest-path procedure is not.</t>
        </is>
      </c>
      <c r="G51" s="10" t="inlineStr">
        <is>
          <t>B</t>
        </is>
      </c>
      <c r="H51" s="10" t="inlineStr">
        <is>
          <t>Dijkstra appears once in ODS (bibliography/discussion mention only); the algorithm is never taught. 'Shortest path' and priority queues covered — strong hard negative.</t>
        </is>
      </c>
      <c r="I51" s="5" t="inlineStr">
        <is>
          <t>Tangential</t>
        </is>
      </c>
      <c r="J51" s="5" t="inlineStr">
        <is>
          <t>2+3</t>
        </is>
      </c>
      <c r="K51" s="5" t="inlineStr">
        <is>
          <t>Shortest paths + priority queues covered; Dijkstra only a bibliography mention → Tangential.</t>
        </is>
      </c>
      <c r="L51" s="13" t="n"/>
      <c r="M51" s="13" t="inlineStr">
        <is>
          <t>Agree with the resolution</t>
        </is>
      </c>
    </row>
    <row r="52" ht="15.75" customHeight="1" s="23"/>
    <row r="53" ht="15.75" customHeight="1" s="23"/>
    <row r="54" ht="15.75" customHeight="1" s="23"/>
    <row r="55" ht="15.75" customHeight="1" s="23"/>
    <row r="56" ht="15.75" customHeight="1" s="23"/>
    <row r="57" ht="15.75" customHeight="1" s="23"/>
    <row r="58" ht="15.75" customHeight="1" s="23"/>
    <row r="59" ht="15.75" customHeight="1" s="23"/>
    <row r="60" ht="15.75" customHeight="1" s="23"/>
    <row r="61" ht="15.75" customHeight="1" s="23"/>
    <row r="62" ht="15.75" customHeight="1" s="23"/>
    <row r="63" ht="15.75" customHeight="1" s="23"/>
    <row r="64" ht="15.75" customHeight="1" s="23"/>
    <row r="65" ht="15.75" customHeight="1" s="23"/>
    <row r="66" ht="15.75" customHeight="1" s="23"/>
    <row r="67" ht="15.75" customHeight="1" s="23"/>
    <row r="68" ht="15.75" customHeight="1" s="23"/>
    <row r="69" ht="15.75" customHeight="1" s="23"/>
    <row r="70" ht="15.75" customHeight="1" s="23"/>
    <row r="71" ht="15.75" customHeight="1" s="23"/>
    <row r="72" ht="15.75" customHeight="1" s="23"/>
    <row r="73" ht="15.75" customHeight="1" s="23"/>
    <row r="74" ht="15.75" customHeight="1" s="23"/>
    <row r="75" ht="15.75" customHeight="1" s="23"/>
    <row r="76" ht="15.75" customHeight="1" s="23"/>
    <row r="77" ht="15.75" customHeight="1" s="23"/>
    <row r="78" ht="15.75" customHeight="1" s="23"/>
    <row r="79" ht="15.75" customHeight="1" s="23"/>
    <row r="80" ht="15.75" customHeight="1" s="23"/>
    <row r="81" ht="15.75" customHeight="1" s="23"/>
    <row r="82" ht="15.75" customHeight="1" s="23"/>
    <row r="83" ht="15.75" customHeight="1" s="23"/>
    <row r="84" ht="15.75" customHeight="1" s="23"/>
    <row r="85" ht="15.75" customHeight="1" s="23"/>
    <row r="86" ht="15.75" customHeight="1" s="23"/>
    <row r="87" ht="15.75" customHeight="1" s="23"/>
    <row r="88" ht="15.75" customHeight="1" s="23"/>
    <row r="89" ht="15.75" customHeight="1" s="23"/>
    <row r="90" ht="15.75" customHeight="1" s="23"/>
    <row r="91" ht="15.75" customHeight="1" s="23"/>
    <row r="92" ht="15.75" customHeight="1" s="23"/>
    <row r="93" ht="15.75" customHeight="1" s="23"/>
    <row r="94" ht="15.75" customHeight="1" s="23"/>
    <row r="95" ht="15.75" customHeight="1" s="23"/>
    <row r="96" ht="15.75" customHeight="1" s="23"/>
    <row r="97" ht="15.75" customHeight="1" s="23"/>
    <row r="98" ht="15.75" customHeight="1" s="23"/>
    <row r="99" ht="15.75" customHeight="1" s="23"/>
    <row r="100" ht="15.75" customHeight="1" s="23"/>
    <row r="101" ht="15.75" customHeight="1" s="23"/>
    <row r="102" ht="15.75" customHeight="1" s="23"/>
    <row r="103" ht="15.75" customHeight="1" s="23"/>
    <row r="104" ht="15.75" customHeight="1" s="23"/>
    <row r="105" ht="15.75" customHeight="1" s="23"/>
    <row r="106" ht="15.75" customHeight="1" s="23"/>
    <row r="107" ht="15.75" customHeight="1" s="23"/>
    <row r="108" ht="15.75" customHeight="1" s="23"/>
    <row r="109" ht="15.75" customHeight="1" s="23"/>
    <row r="110" ht="15.75" customHeight="1" s="23"/>
    <row r="111" ht="15.75" customHeight="1" s="23"/>
    <row r="112" ht="15.75" customHeight="1" s="23"/>
    <row r="113" ht="15.75" customHeight="1" s="23"/>
    <row r="114" ht="15.75" customHeight="1" s="23"/>
    <row r="115" ht="15.75" customHeight="1" s="23"/>
    <row r="116" ht="15.75" customHeight="1" s="23"/>
    <row r="117" ht="15.75" customHeight="1" s="23"/>
    <row r="118" ht="15.75" customHeight="1" s="23"/>
    <row r="119" ht="15.75" customHeight="1" s="23"/>
    <row r="120" ht="15.75" customHeight="1" s="23"/>
    <row r="121" ht="15.75" customHeight="1" s="23"/>
    <row r="122" ht="15.75" customHeight="1" s="23"/>
    <row r="123" ht="15.75" customHeight="1" s="23"/>
    <row r="124" ht="15.75" customHeight="1" s="23"/>
    <row r="125" ht="15.75" customHeight="1" s="23"/>
    <row r="126" ht="15.75" customHeight="1" s="23"/>
    <row r="127" ht="15.75" customHeight="1" s="23"/>
    <row r="128" ht="15.75" customHeight="1" s="23"/>
    <row r="129" ht="15.75" customHeight="1" s="23"/>
    <row r="130" ht="15.75" customHeight="1" s="23"/>
    <row r="131" ht="15.75" customHeight="1" s="23"/>
    <row r="132" ht="15.75" customHeight="1" s="23"/>
    <row r="133" ht="15.75" customHeight="1" s="23"/>
    <row r="134" ht="15.75" customHeight="1" s="23"/>
    <row r="135" ht="15.75" customHeight="1" s="23"/>
    <row r="136" ht="15.75" customHeight="1" s="23"/>
    <row r="137" ht="15.75" customHeight="1" s="23"/>
    <row r="138" ht="15.75" customHeight="1" s="23"/>
    <row r="139" ht="15.75" customHeight="1" s="23"/>
    <row r="140" ht="15.75" customHeight="1" s="23"/>
    <row r="141" ht="15.75" customHeight="1" s="23"/>
    <row r="142" ht="15.75" customHeight="1" s="23"/>
    <row r="143" ht="15.75" customHeight="1" s="23"/>
    <row r="144" ht="15.75" customHeight="1" s="23"/>
    <row r="145" ht="15.75" customHeight="1" s="23"/>
    <row r="146" ht="15.75" customHeight="1" s="23"/>
    <row r="147" ht="15.75" customHeight="1" s="23"/>
    <row r="148" ht="15.75" customHeight="1" s="23"/>
    <row r="149" ht="15.75" customHeight="1" s="23"/>
    <row r="150" ht="15.75" customHeight="1" s="23"/>
    <row r="151" ht="15.75" customHeight="1" s="23"/>
    <row r="152" ht="15.75" customHeight="1" s="23"/>
    <row r="153" ht="15.75" customHeight="1" s="23"/>
    <row r="154" ht="15.75" customHeight="1" s="23"/>
    <row r="155" ht="15.75" customHeight="1" s="23"/>
    <row r="156" ht="15.75" customHeight="1" s="23"/>
    <row r="157" ht="15.75" customHeight="1" s="23"/>
    <row r="158" ht="15.75" customHeight="1" s="23"/>
    <row r="159" ht="15.75" customHeight="1" s="23"/>
    <row r="160" ht="15.75" customHeight="1" s="23"/>
    <row r="161" ht="15.75" customHeight="1" s="23"/>
    <row r="162" ht="15.75" customHeight="1" s="23"/>
    <row r="163" ht="15.75" customHeight="1" s="23"/>
    <row r="164" ht="15.75" customHeight="1" s="23"/>
    <row r="165" ht="15.75" customHeight="1" s="23"/>
    <row r="166" ht="15.75" customHeight="1" s="23"/>
    <row r="167" ht="15.75" customHeight="1" s="23"/>
    <row r="168" ht="15.75" customHeight="1" s="23"/>
    <row r="169" ht="15.75" customHeight="1" s="23"/>
    <row r="170" ht="15.75" customHeight="1" s="23"/>
    <row r="171" ht="15.75" customHeight="1" s="23"/>
    <row r="172" ht="15.75" customHeight="1" s="23"/>
    <row r="173" ht="15.75" customHeight="1" s="23"/>
    <row r="174" ht="15.75" customHeight="1" s="23"/>
    <row r="175" ht="15.75" customHeight="1" s="23"/>
    <row r="176" ht="15.75" customHeight="1" s="23"/>
    <row r="177" ht="15.75" customHeight="1" s="23"/>
    <row r="178" ht="15.75" customHeight="1" s="23"/>
    <row r="179" ht="15.75" customHeight="1" s="23"/>
    <row r="180" ht="15.75" customHeight="1" s="23"/>
    <row r="181" ht="15.75" customHeight="1" s="23"/>
    <row r="182" ht="15.75" customHeight="1" s="23"/>
    <row r="183" ht="15.75" customHeight="1" s="23"/>
    <row r="184" ht="15.75" customHeight="1" s="23"/>
    <row r="185" ht="15.75" customHeight="1" s="23"/>
    <row r="186" ht="15.75" customHeight="1" s="23"/>
    <row r="187" ht="15.75" customHeight="1" s="23"/>
    <row r="188" ht="15.75" customHeight="1" s="23"/>
    <row r="189" ht="15.75" customHeight="1" s="23"/>
    <row r="190" ht="15.75" customHeight="1" s="23"/>
    <row r="191" ht="15.75" customHeight="1" s="23"/>
    <row r="192" ht="15.75" customHeight="1" s="23"/>
    <row r="193" ht="15.75" customHeight="1" s="23"/>
    <row r="194" ht="15.75" customHeight="1" s="23"/>
    <row r="195" ht="15.75" customHeight="1" s="23"/>
    <row r="196" ht="15.75" customHeight="1" s="23"/>
    <row r="197" ht="15.75" customHeight="1" s="23"/>
    <row r="198" ht="15.75" customHeight="1" s="23"/>
    <row r="199" ht="15.75" customHeight="1" s="23"/>
    <row r="200" ht="15.75" customHeight="1" s="23"/>
    <row r="201" ht="15.75" customHeight="1" s="23"/>
    <row r="202" ht="15.75" customHeight="1" s="23"/>
    <row r="203" ht="15.75" customHeight="1" s="23"/>
    <row r="204" ht="15.75" customHeight="1" s="23"/>
    <row r="205" ht="15.75" customHeight="1" s="23"/>
    <row r="206" ht="15.75" customHeight="1" s="23"/>
    <row r="207" ht="15.75" customHeight="1" s="23"/>
    <row r="208" ht="15.75" customHeight="1" s="23"/>
    <row r="209" ht="15.75" customHeight="1" s="23"/>
    <row r="210" ht="15.75" customHeight="1" s="23"/>
    <row r="211" ht="15.75" customHeight="1" s="23"/>
    <row r="212" ht="15.75" customHeight="1" s="23"/>
    <row r="213" ht="15.75" customHeight="1" s="23"/>
    <row r="214" ht="15.75" customHeight="1" s="23"/>
    <row r="215" ht="15.75" customHeight="1" s="23"/>
    <row r="216" ht="15.75" customHeight="1" s="23"/>
    <row r="217" ht="15.75" customHeight="1" s="23"/>
    <row r="218" ht="15.75" customHeight="1" s="23"/>
    <row r="219" ht="15.75" customHeight="1" s="23"/>
    <row r="220" ht="15.75" customHeight="1" s="23"/>
    <row r="221" ht="15.75" customHeight="1" s="23"/>
    <row r="222" ht="15.75" customHeight="1" s="23"/>
    <row r="223" ht="15.75" customHeight="1" s="23"/>
    <row r="224" ht="15.75" customHeight="1" s="23"/>
    <row r="225" ht="15.75" customHeight="1" s="23"/>
    <row r="226" ht="15.75" customHeight="1" s="23"/>
    <row r="227" ht="15.75" customHeight="1" s="23"/>
    <row r="228" ht="15.75" customHeight="1" s="23"/>
    <row r="229" ht="15.75" customHeight="1" s="23"/>
    <row r="230" ht="15.75" customHeight="1" s="23"/>
    <row r="231" ht="15.75" customHeight="1" s="23"/>
    <row r="232" ht="15.75" customHeight="1" s="23"/>
    <row r="233" ht="15.75" customHeight="1" s="23"/>
    <row r="234" ht="15.75" customHeight="1" s="23"/>
    <row r="235" ht="15.75" customHeight="1" s="23"/>
    <row r="236" ht="15.75" customHeight="1" s="23"/>
    <row r="237" ht="15.75" customHeight="1" s="23"/>
    <row r="238" ht="15.75" customHeight="1" s="23"/>
    <row r="239" ht="15.75" customHeight="1" s="23"/>
    <row r="240" ht="15.75" customHeight="1" s="23"/>
    <row r="241" ht="15.75" customHeight="1" s="23"/>
    <row r="242" ht="15.75" customHeight="1" s="23"/>
    <row r="243" ht="15.75" customHeight="1" s="23"/>
    <row r="244" ht="15.75" customHeight="1" s="23"/>
    <row r="245" ht="15.75" customHeight="1" s="23"/>
    <row r="246" ht="15.75" customHeight="1" s="23"/>
    <row r="247" ht="15.75" customHeight="1" s="23"/>
    <row r="248" ht="15.75" customHeight="1" s="23"/>
    <row r="249" ht="15.75" customHeight="1" s="23"/>
    <row r="250" ht="15.75" customHeight="1" s="23"/>
    <row r="251" ht="15.75" customHeight="1" s="23"/>
    <row r="252" ht="15.75" customHeight="1" s="23"/>
    <row r="253" ht="15.75" customHeight="1" s="23"/>
    <row r="254" ht="15.75" customHeight="1" s="23"/>
    <row r="255" ht="15.75" customHeight="1" s="23"/>
    <row r="256" ht="15.75" customHeight="1" s="23"/>
    <row r="257" ht="15.75" customHeight="1" s="23"/>
    <row r="258" ht="15.75" customHeight="1" s="23"/>
    <row r="259" ht="15.75" customHeight="1" s="23"/>
    <row r="260" ht="15.75" customHeight="1" s="23"/>
    <row r="261" ht="15.75" customHeight="1" s="23"/>
    <row r="262" ht="15.75" customHeight="1" s="23"/>
    <row r="263" ht="15.75" customHeight="1" s="23"/>
    <row r="264" ht="15.75" customHeight="1" s="23"/>
    <row r="265" ht="15.75" customHeight="1" s="23"/>
    <row r="266" ht="15.75" customHeight="1" s="23"/>
    <row r="267" ht="15.75" customHeight="1" s="23"/>
    <row r="268" ht="15.75" customHeight="1" s="23"/>
    <row r="269" ht="15.75" customHeight="1" s="23"/>
    <row r="270" ht="15.75" customHeight="1" s="23"/>
    <row r="271" ht="15.75" customHeight="1" s="23"/>
    <row r="272" ht="15.75" customHeight="1" s="23"/>
    <row r="273" ht="15.75" customHeight="1" s="23"/>
    <row r="274" ht="15.75" customHeight="1" s="23"/>
    <row r="275" ht="15.75" customHeight="1" s="23"/>
    <row r="276" ht="15.75" customHeight="1" s="23"/>
    <row r="277" ht="15.75" customHeight="1" s="23"/>
    <row r="278" ht="15.75" customHeight="1" s="23"/>
    <row r="279" ht="15.75" customHeight="1" s="23"/>
    <row r="280" ht="15.75" customHeight="1" s="23"/>
    <row r="281" ht="15.75" customHeight="1" s="23"/>
    <row r="282" ht="15.75" customHeight="1" s="23"/>
    <row r="283" ht="15.75" customHeight="1" s="23"/>
    <row r="284" ht="15.75" customHeight="1" s="23"/>
    <row r="285" ht="15.75" customHeight="1" s="23"/>
    <row r="286" ht="15.75" customHeight="1" s="23"/>
    <row r="287" ht="15.75" customHeight="1" s="23"/>
    <row r="288" ht="15.75" customHeight="1" s="23"/>
    <row r="289" ht="15.75" customHeight="1" s="23"/>
    <row r="290" ht="15.75" customHeight="1" s="23"/>
    <row r="291" ht="15.75" customHeight="1" s="23"/>
    <row r="292" ht="15.75" customHeight="1" s="23"/>
    <row r="293" ht="15.75" customHeight="1" s="23"/>
    <row r="294" ht="15.75" customHeight="1" s="23"/>
    <row r="295" ht="15.75" customHeight="1" s="23"/>
    <row r="296" ht="15.75" customHeight="1" s="23"/>
    <row r="297" ht="15.75" customHeight="1" s="23"/>
    <row r="298" ht="15.75" customHeight="1" s="23"/>
    <row r="299" ht="15.75" customHeight="1" s="23"/>
    <row r="300" ht="15.75" customHeight="1" s="23"/>
    <row r="301" ht="15.75" customHeight="1" s="23"/>
    <row r="302" ht="15.75" customHeight="1" s="23"/>
    <row r="303" ht="15.75" customHeight="1" s="23"/>
    <row r="304" ht="15.75" customHeight="1" s="23"/>
    <row r="305" ht="15.75" customHeight="1" s="23"/>
    <row r="306" ht="15.75" customHeight="1" s="23"/>
    <row r="307" ht="15.75" customHeight="1" s="23"/>
    <row r="308" ht="15.75" customHeight="1" s="23"/>
    <row r="309" ht="15.75" customHeight="1" s="23"/>
    <row r="310" ht="15.75" customHeight="1" s="23"/>
    <row r="311" ht="15.75" customHeight="1" s="23"/>
    <row r="312" ht="15.75" customHeight="1" s="23"/>
    <row r="313" ht="15.75" customHeight="1" s="23"/>
    <row r="314" ht="15.75" customHeight="1" s="23"/>
    <row r="315" ht="15.75" customHeight="1" s="23"/>
    <row r="316" ht="15.75" customHeight="1" s="23"/>
    <row r="317" ht="15.75" customHeight="1" s="23"/>
    <row r="318" ht="15.75" customHeight="1" s="23"/>
    <row r="319" ht="15.75" customHeight="1" s="23"/>
    <row r="320" ht="15.75" customHeight="1" s="23"/>
    <row r="321" ht="15.75" customHeight="1" s="23"/>
    <row r="322" ht="15.75" customHeight="1" s="23"/>
    <row r="323" ht="15.75" customHeight="1" s="23"/>
    <row r="324" ht="15.75" customHeight="1" s="23"/>
    <row r="325" ht="15.75" customHeight="1" s="23"/>
    <row r="326" ht="15.75" customHeight="1" s="23"/>
    <row r="327" ht="15.75" customHeight="1" s="23"/>
    <row r="328" ht="15.75" customHeight="1" s="23"/>
    <row r="329" ht="15.75" customHeight="1" s="23"/>
    <row r="330" ht="15.75" customHeight="1" s="23"/>
    <row r="331" ht="15.75" customHeight="1" s="23"/>
    <row r="332" ht="15.75" customHeight="1" s="23"/>
    <row r="333" ht="15.75" customHeight="1" s="23"/>
    <row r="334" ht="15.75" customHeight="1" s="23"/>
    <row r="335" ht="15.75" customHeight="1" s="23"/>
    <row r="336" ht="15.75" customHeight="1" s="23"/>
    <row r="337" ht="15.75" customHeight="1" s="23"/>
    <row r="338" ht="15.75" customHeight="1" s="23"/>
    <row r="339" ht="15.75" customHeight="1" s="23"/>
    <row r="340" ht="15.75" customHeight="1" s="23"/>
    <row r="341" ht="15.75" customHeight="1" s="23"/>
    <row r="342" ht="15.75" customHeight="1" s="23"/>
    <row r="343" ht="15.75" customHeight="1" s="23"/>
    <row r="344" ht="15.75" customHeight="1" s="23"/>
    <row r="345" ht="15.75" customHeight="1" s="23"/>
    <row r="346" ht="15.75" customHeight="1" s="23"/>
    <row r="347" ht="15.75" customHeight="1" s="23"/>
    <row r="348" ht="15.75" customHeight="1" s="23"/>
    <row r="349" ht="15.75" customHeight="1" s="23"/>
    <row r="350" ht="15.75" customHeight="1" s="23"/>
    <row r="351" ht="15.75" customHeight="1" s="23"/>
    <row r="352" ht="15.75" customHeight="1" s="23"/>
    <row r="353" ht="15.75" customHeight="1" s="23"/>
    <row r="354" ht="15.75" customHeight="1" s="23"/>
    <row r="355" ht="15.75" customHeight="1" s="23"/>
    <row r="356" ht="15.75" customHeight="1" s="23"/>
    <row r="357" ht="15.75" customHeight="1" s="23"/>
    <row r="358" ht="15.75" customHeight="1" s="23"/>
    <row r="359" ht="15.75" customHeight="1" s="23"/>
    <row r="360" ht="15.75" customHeight="1" s="23"/>
    <row r="361" ht="15.75" customHeight="1" s="23"/>
    <row r="362" ht="15.75" customHeight="1" s="23"/>
    <row r="363" ht="15.75" customHeight="1" s="23"/>
    <row r="364" ht="15.75" customHeight="1" s="23"/>
    <row r="365" ht="15.75" customHeight="1" s="23"/>
    <row r="366" ht="15.75" customHeight="1" s="23"/>
    <row r="367" ht="15.75" customHeight="1" s="23"/>
    <row r="368" ht="15.75" customHeight="1" s="23"/>
    <row r="369" ht="15.75" customHeight="1" s="23"/>
    <row r="370" ht="15.75" customHeight="1" s="23"/>
    <row r="371" ht="15.75" customHeight="1" s="23"/>
    <row r="372" ht="15.75" customHeight="1" s="23"/>
    <row r="373" ht="15.75" customHeight="1" s="23"/>
    <row r="374" ht="15.75" customHeight="1" s="23"/>
    <row r="375" ht="15.75" customHeight="1" s="23"/>
    <row r="376" ht="15.75" customHeight="1" s="23"/>
    <row r="377" ht="15.75" customHeight="1" s="23"/>
    <row r="378" ht="15.75" customHeight="1" s="23"/>
    <row r="379" ht="15.75" customHeight="1" s="23"/>
    <row r="380" ht="15.75" customHeight="1" s="23"/>
    <row r="381" ht="15.75" customHeight="1" s="23"/>
    <row r="382" ht="15.75" customHeight="1" s="23"/>
    <row r="383" ht="15.75" customHeight="1" s="23"/>
    <row r="384" ht="15.75" customHeight="1" s="23"/>
    <row r="385" ht="15.75" customHeight="1" s="23"/>
    <row r="386" ht="15.75" customHeight="1" s="23"/>
    <row r="387" ht="15.75" customHeight="1" s="23"/>
    <row r="388" ht="15.75" customHeight="1" s="23"/>
    <row r="389" ht="15.75" customHeight="1" s="23"/>
    <row r="390" ht="15.75" customHeight="1" s="23"/>
    <row r="391" ht="15.75" customHeight="1" s="23"/>
    <row r="392" ht="15.75" customHeight="1" s="23"/>
    <row r="393" ht="15.75" customHeight="1" s="23"/>
    <row r="394" ht="15.75" customHeight="1" s="23"/>
    <row r="395" ht="15.75" customHeight="1" s="23"/>
    <row r="396" ht="15.75" customHeight="1" s="23"/>
    <row r="397" ht="15.75" customHeight="1" s="23"/>
    <row r="398" ht="15.75" customHeight="1" s="23"/>
    <row r="399" ht="15.75" customHeight="1" s="23"/>
    <row r="400" ht="15.75" customHeight="1" s="23"/>
    <row r="401" ht="15.75" customHeight="1" s="23"/>
    <row r="402" ht="15.75" customHeight="1" s="23"/>
    <row r="403" ht="15.75" customHeight="1" s="23"/>
    <row r="404" ht="15.75" customHeight="1" s="23"/>
    <row r="405" ht="15.75" customHeight="1" s="23"/>
    <row r="406" ht="15.75" customHeight="1" s="23"/>
    <row r="407" ht="15.75" customHeight="1" s="23"/>
    <row r="408" ht="15.75" customHeight="1" s="23"/>
    <row r="409" ht="15.75" customHeight="1" s="23"/>
    <row r="410" ht="15.75" customHeight="1" s="23"/>
    <row r="411" ht="15.75" customHeight="1" s="23"/>
    <row r="412" ht="15.75" customHeight="1" s="23"/>
    <row r="413" ht="15.75" customHeight="1" s="23"/>
    <row r="414" ht="15.75" customHeight="1" s="23"/>
    <row r="415" ht="15.75" customHeight="1" s="23"/>
    <row r="416" ht="15.75" customHeight="1" s="23"/>
    <row r="417" ht="15.75" customHeight="1" s="23"/>
    <row r="418" ht="15.75" customHeight="1" s="23"/>
    <row r="419" ht="15.75" customHeight="1" s="23"/>
    <row r="420" ht="15.75" customHeight="1" s="23"/>
    <row r="421" ht="15.75" customHeight="1" s="23"/>
    <row r="422" ht="15.75" customHeight="1" s="23"/>
    <row r="423" ht="15.75" customHeight="1" s="23"/>
    <row r="424" ht="15.75" customHeight="1" s="23"/>
    <row r="425" ht="15.75" customHeight="1" s="23"/>
    <row r="426" ht="15.75" customHeight="1" s="23"/>
    <row r="427" ht="15.75" customHeight="1" s="23"/>
    <row r="428" ht="15.75" customHeight="1" s="23"/>
    <row r="429" ht="15.75" customHeight="1" s="23"/>
    <row r="430" ht="15.75" customHeight="1" s="23"/>
    <row r="431" ht="15.75" customHeight="1" s="23"/>
    <row r="432" ht="15.75" customHeight="1" s="23"/>
    <row r="433" ht="15.75" customHeight="1" s="23"/>
    <row r="434" ht="15.75" customHeight="1" s="23"/>
    <row r="435" ht="15.75" customHeight="1" s="23"/>
    <row r="436" ht="15.75" customHeight="1" s="23"/>
    <row r="437" ht="15.75" customHeight="1" s="23"/>
    <row r="438" ht="15.75" customHeight="1" s="23"/>
    <row r="439" ht="15.75" customHeight="1" s="23"/>
    <row r="440" ht="15.75" customHeight="1" s="23"/>
    <row r="441" ht="15.75" customHeight="1" s="23"/>
    <row r="442" ht="15.75" customHeight="1" s="23"/>
    <row r="443" ht="15.75" customHeight="1" s="23"/>
    <row r="444" ht="15.75" customHeight="1" s="23"/>
    <row r="445" ht="15.75" customHeight="1" s="23"/>
    <row r="446" ht="15.75" customHeight="1" s="23"/>
    <row r="447" ht="15.75" customHeight="1" s="23"/>
    <row r="448" ht="15.75" customHeight="1" s="23"/>
    <row r="449" ht="15.75" customHeight="1" s="23"/>
    <row r="450" ht="15.75" customHeight="1" s="23"/>
    <row r="451" ht="15.75" customHeight="1" s="23"/>
    <row r="452" ht="15.75" customHeight="1" s="23"/>
    <row r="453" ht="15.75" customHeight="1" s="23"/>
    <row r="454" ht="15.75" customHeight="1" s="23"/>
    <row r="455" ht="15.75" customHeight="1" s="23"/>
    <row r="456" ht="15.75" customHeight="1" s="23"/>
    <row r="457" ht="15.75" customHeight="1" s="23"/>
    <row r="458" ht="15.75" customHeight="1" s="23"/>
    <row r="459" ht="15.75" customHeight="1" s="23"/>
    <row r="460" ht="15.75" customHeight="1" s="23"/>
    <row r="461" ht="15.75" customHeight="1" s="23"/>
    <row r="462" ht="15.75" customHeight="1" s="23"/>
    <row r="463" ht="15.75" customHeight="1" s="23"/>
    <row r="464" ht="15.75" customHeight="1" s="23"/>
    <row r="465" ht="15.75" customHeight="1" s="23"/>
    <row r="466" ht="15.75" customHeight="1" s="23"/>
    <row r="467" ht="15.75" customHeight="1" s="23"/>
    <row r="468" ht="15.75" customHeight="1" s="23"/>
    <row r="469" ht="15.75" customHeight="1" s="23"/>
    <row r="470" ht="15.75" customHeight="1" s="23"/>
    <row r="471" ht="15.75" customHeight="1" s="23"/>
    <row r="472" ht="15.75" customHeight="1" s="23"/>
    <row r="473" ht="15.75" customHeight="1" s="23"/>
    <row r="474" ht="15.75" customHeight="1" s="23"/>
    <row r="475" ht="15.75" customHeight="1" s="23"/>
    <row r="476" ht="15.75" customHeight="1" s="23"/>
    <row r="477" ht="15.75" customHeight="1" s="23"/>
    <row r="478" ht="15.75" customHeight="1" s="23"/>
    <row r="479" ht="15.75" customHeight="1" s="23"/>
    <row r="480" ht="15.75" customHeight="1" s="23"/>
    <row r="481" ht="15.75" customHeight="1" s="23"/>
    <row r="482" ht="15.75" customHeight="1" s="23"/>
    <row r="483" ht="15.75" customHeight="1" s="23"/>
    <row r="484" ht="15.75" customHeight="1" s="23"/>
    <row r="485" ht="15.75" customHeight="1" s="23"/>
    <row r="486" ht="15.75" customHeight="1" s="23"/>
    <row r="487" ht="15.75" customHeight="1" s="23"/>
    <row r="488" ht="15.75" customHeight="1" s="23"/>
    <row r="489" ht="15.75" customHeight="1" s="23"/>
    <row r="490" ht="15.75" customHeight="1" s="23"/>
    <row r="491" ht="15.75" customHeight="1" s="23"/>
    <row r="492" ht="15.75" customHeight="1" s="23"/>
    <row r="493" ht="15.75" customHeight="1" s="23"/>
    <row r="494" ht="15.75" customHeight="1" s="23"/>
    <row r="495" ht="15.75" customHeight="1" s="23"/>
    <row r="496" ht="15.75" customHeight="1" s="23"/>
    <row r="497" ht="15.75" customHeight="1" s="23"/>
    <row r="498" ht="15.75" customHeight="1" s="23"/>
    <row r="499" ht="15.75" customHeight="1" s="23"/>
    <row r="500" ht="15.75" customHeight="1" s="23"/>
    <row r="501" ht="15.75" customHeight="1" s="23"/>
    <row r="502" ht="15.75" customHeight="1" s="23"/>
    <row r="503" ht="15.75" customHeight="1" s="23"/>
    <row r="504" ht="15.75" customHeight="1" s="23"/>
    <row r="505" ht="15.75" customHeight="1" s="23"/>
    <row r="506" ht="15.75" customHeight="1" s="23"/>
    <row r="507" ht="15.75" customHeight="1" s="23"/>
    <row r="508" ht="15.75" customHeight="1" s="23"/>
    <row r="509" ht="15.75" customHeight="1" s="23"/>
    <row r="510" ht="15.75" customHeight="1" s="23"/>
    <row r="511" ht="15.75" customHeight="1" s="23"/>
    <row r="512" ht="15.75" customHeight="1" s="23"/>
    <row r="513" ht="15.75" customHeight="1" s="23"/>
    <row r="514" ht="15.75" customHeight="1" s="23"/>
    <row r="515" ht="15.75" customHeight="1" s="23"/>
    <row r="516" ht="15.75" customHeight="1" s="23"/>
    <row r="517" ht="15.75" customHeight="1" s="23"/>
    <row r="518" ht="15.75" customHeight="1" s="23"/>
    <row r="519" ht="15.75" customHeight="1" s="23"/>
    <row r="520" ht="15.75" customHeight="1" s="23"/>
    <row r="521" ht="15.75" customHeight="1" s="23"/>
    <row r="522" ht="15.75" customHeight="1" s="23"/>
    <row r="523" ht="15.75" customHeight="1" s="23"/>
    <row r="524" ht="15.75" customHeight="1" s="23"/>
    <row r="525" ht="15.75" customHeight="1" s="23"/>
    <row r="526" ht="15.75" customHeight="1" s="23"/>
    <row r="527" ht="15.75" customHeight="1" s="23"/>
    <row r="528" ht="15.75" customHeight="1" s="23"/>
    <row r="529" ht="15.75" customHeight="1" s="23"/>
    <row r="530" ht="15.75" customHeight="1" s="23"/>
    <row r="531" ht="15.75" customHeight="1" s="23"/>
    <row r="532" ht="15.75" customHeight="1" s="23"/>
    <row r="533" ht="15.75" customHeight="1" s="23"/>
    <row r="534" ht="15.75" customHeight="1" s="23"/>
    <row r="535" ht="15.75" customHeight="1" s="23"/>
    <row r="536" ht="15.75" customHeight="1" s="23"/>
    <row r="537" ht="15.75" customHeight="1" s="23"/>
    <row r="538" ht="15.75" customHeight="1" s="23"/>
    <row r="539" ht="15.75" customHeight="1" s="23"/>
    <row r="540" ht="15.75" customHeight="1" s="23"/>
    <row r="541" ht="15.75" customHeight="1" s="23"/>
    <row r="542" ht="15.75" customHeight="1" s="23"/>
    <row r="543" ht="15.75" customHeight="1" s="23"/>
    <row r="544" ht="15.75" customHeight="1" s="23"/>
    <row r="545" ht="15.75" customHeight="1" s="23"/>
    <row r="546" ht="15.75" customHeight="1" s="23"/>
    <row r="547" ht="15.75" customHeight="1" s="23"/>
    <row r="548" ht="15.75" customHeight="1" s="23"/>
    <row r="549" ht="15.75" customHeight="1" s="23"/>
    <row r="550" ht="15.75" customHeight="1" s="23"/>
    <row r="551" ht="15.75" customHeight="1" s="23"/>
    <row r="552" ht="15.75" customHeight="1" s="23"/>
    <row r="553" ht="15.75" customHeight="1" s="23"/>
    <row r="554" ht="15.75" customHeight="1" s="23"/>
    <row r="555" ht="15.75" customHeight="1" s="23"/>
    <row r="556" ht="15.75" customHeight="1" s="23"/>
    <row r="557" ht="15.75" customHeight="1" s="23"/>
    <row r="558" ht="15.75" customHeight="1" s="23"/>
    <row r="559" ht="15.75" customHeight="1" s="23"/>
    <row r="560" ht="15.75" customHeight="1" s="23"/>
    <row r="561" ht="15.75" customHeight="1" s="23"/>
    <row r="562" ht="15.75" customHeight="1" s="23"/>
    <row r="563" ht="15.75" customHeight="1" s="23"/>
    <row r="564" ht="15.75" customHeight="1" s="23"/>
    <row r="565" ht="15.75" customHeight="1" s="23"/>
    <row r="566" ht="15.75" customHeight="1" s="23"/>
    <row r="567" ht="15.75" customHeight="1" s="23"/>
    <row r="568" ht="15.75" customHeight="1" s="23"/>
    <row r="569" ht="15.75" customHeight="1" s="23"/>
    <row r="570" ht="15.75" customHeight="1" s="23"/>
    <row r="571" ht="15.75" customHeight="1" s="23"/>
    <row r="572" ht="15.75" customHeight="1" s="23"/>
    <row r="573" ht="15.75" customHeight="1" s="23"/>
    <row r="574" ht="15.75" customHeight="1" s="23"/>
    <row r="575" ht="15.75" customHeight="1" s="23"/>
    <row r="576" ht="15.75" customHeight="1" s="23"/>
    <row r="577" ht="15.75" customHeight="1" s="23"/>
    <row r="578" ht="15.75" customHeight="1" s="23"/>
    <row r="579" ht="15.75" customHeight="1" s="23"/>
    <row r="580" ht="15.75" customHeight="1" s="23"/>
    <row r="581" ht="15.75" customHeight="1" s="23"/>
    <row r="582" ht="15.75" customHeight="1" s="23"/>
    <row r="583" ht="15.75" customHeight="1" s="23"/>
    <row r="584" ht="15.75" customHeight="1" s="23"/>
    <row r="585" ht="15.75" customHeight="1" s="23"/>
    <row r="586" ht="15.75" customHeight="1" s="23"/>
    <row r="587" ht="15.75" customHeight="1" s="23"/>
    <row r="588" ht="15.75" customHeight="1" s="23"/>
    <row r="589" ht="15.75" customHeight="1" s="23"/>
    <row r="590" ht="15.75" customHeight="1" s="23"/>
    <row r="591" ht="15.75" customHeight="1" s="23"/>
    <row r="592" ht="15.75" customHeight="1" s="23"/>
    <row r="593" ht="15.75" customHeight="1" s="23"/>
    <row r="594" ht="15.75" customHeight="1" s="23"/>
    <row r="595" ht="15.75" customHeight="1" s="23"/>
    <row r="596" ht="15.75" customHeight="1" s="23"/>
    <row r="597" ht="15.75" customHeight="1" s="23"/>
    <row r="598" ht="15.75" customHeight="1" s="23"/>
    <row r="599" ht="15.75" customHeight="1" s="23"/>
    <row r="600" ht="15.75" customHeight="1" s="23"/>
    <row r="601" ht="15.75" customHeight="1" s="23"/>
    <row r="602" ht="15.75" customHeight="1" s="23"/>
    <row r="603" ht="15.75" customHeight="1" s="23"/>
    <row r="604" ht="15.75" customHeight="1" s="23"/>
    <row r="605" ht="15.75" customHeight="1" s="23"/>
    <row r="606" ht="15.75" customHeight="1" s="23"/>
    <row r="607" ht="15.75" customHeight="1" s="23"/>
    <row r="608" ht="15.75" customHeight="1" s="23"/>
    <row r="609" ht="15.75" customHeight="1" s="23"/>
    <row r="610" ht="15.75" customHeight="1" s="23"/>
    <row r="611" ht="15.75" customHeight="1" s="23"/>
    <row r="612" ht="15.75" customHeight="1" s="23"/>
    <row r="613" ht="15.75" customHeight="1" s="23"/>
    <row r="614" ht="15.75" customHeight="1" s="23"/>
    <row r="615" ht="15.75" customHeight="1" s="23"/>
    <row r="616" ht="15.75" customHeight="1" s="23"/>
    <row r="617" ht="15.75" customHeight="1" s="23"/>
    <row r="618" ht="15.75" customHeight="1" s="23"/>
    <row r="619" ht="15.75" customHeight="1" s="23"/>
    <row r="620" ht="15.75" customHeight="1" s="23"/>
    <row r="621" ht="15.75" customHeight="1" s="23"/>
    <row r="622" ht="15.75" customHeight="1" s="23"/>
    <row r="623" ht="15.75" customHeight="1" s="23"/>
    <row r="624" ht="15.75" customHeight="1" s="23"/>
    <row r="625" ht="15.75" customHeight="1" s="23"/>
    <row r="626" ht="15.75" customHeight="1" s="23"/>
    <row r="627" ht="15.75" customHeight="1" s="23"/>
    <row r="628" ht="15.75" customHeight="1" s="23"/>
    <row r="629" ht="15.75" customHeight="1" s="23"/>
    <row r="630" ht="15.75" customHeight="1" s="23"/>
    <row r="631" ht="15.75" customHeight="1" s="23"/>
    <row r="632" ht="15.75" customHeight="1" s="23"/>
    <row r="633" ht="15.75" customHeight="1" s="23"/>
    <row r="634" ht="15.75" customHeight="1" s="23"/>
    <row r="635" ht="15.75" customHeight="1" s="23"/>
    <row r="636" ht="15.75" customHeight="1" s="23"/>
    <row r="637" ht="15.75" customHeight="1" s="23"/>
    <row r="638" ht="15.75" customHeight="1" s="23"/>
    <row r="639" ht="15.75" customHeight="1" s="23"/>
    <row r="640" ht="15.75" customHeight="1" s="23"/>
    <row r="641" ht="15.75" customHeight="1" s="23"/>
    <row r="642" ht="15.75" customHeight="1" s="23"/>
    <row r="643" ht="15.75" customHeight="1" s="23"/>
    <row r="644" ht="15.75" customHeight="1" s="23"/>
    <row r="645" ht="15.75" customHeight="1" s="23"/>
    <row r="646" ht="15.75" customHeight="1" s="23"/>
    <row r="647" ht="15.75" customHeight="1" s="23"/>
    <row r="648" ht="15.75" customHeight="1" s="23"/>
    <row r="649" ht="15.75" customHeight="1" s="23"/>
    <row r="650" ht="15.75" customHeight="1" s="23"/>
    <row r="651" ht="15.75" customHeight="1" s="23"/>
    <row r="652" ht="15.75" customHeight="1" s="23"/>
    <row r="653" ht="15.75" customHeight="1" s="23"/>
    <row r="654" ht="15.75" customHeight="1" s="23"/>
    <row r="655" ht="15.75" customHeight="1" s="23"/>
    <row r="656" ht="15.75" customHeight="1" s="23"/>
    <row r="657" ht="15.75" customHeight="1" s="23"/>
    <row r="658" ht="15.75" customHeight="1" s="23"/>
    <row r="659" ht="15.75" customHeight="1" s="23"/>
    <row r="660" ht="15.75" customHeight="1" s="23"/>
    <row r="661" ht="15.75" customHeight="1" s="23"/>
    <row r="662" ht="15.75" customHeight="1" s="23"/>
    <row r="663" ht="15.75" customHeight="1" s="23"/>
    <row r="664" ht="15.75" customHeight="1" s="23"/>
    <row r="665" ht="15.75" customHeight="1" s="23"/>
    <row r="666" ht="15.75" customHeight="1" s="23"/>
    <row r="667" ht="15.75" customHeight="1" s="23"/>
    <row r="668" ht="15.75" customHeight="1" s="23"/>
    <row r="669" ht="15.75" customHeight="1" s="23"/>
    <row r="670" ht="15.75" customHeight="1" s="23"/>
    <row r="671" ht="15.75" customHeight="1" s="23"/>
    <row r="672" ht="15.75" customHeight="1" s="23"/>
    <row r="673" ht="15.75" customHeight="1" s="23"/>
    <row r="674" ht="15.75" customHeight="1" s="23"/>
    <row r="675" ht="15.75" customHeight="1" s="23"/>
    <row r="676" ht="15.75" customHeight="1" s="23"/>
    <row r="677" ht="15.75" customHeight="1" s="23"/>
    <row r="678" ht="15.75" customHeight="1" s="23"/>
    <row r="679" ht="15.75" customHeight="1" s="23"/>
    <row r="680" ht="15.75" customHeight="1" s="23"/>
    <row r="681" ht="15.75" customHeight="1" s="23"/>
    <row r="682" ht="15.75" customHeight="1" s="23"/>
    <row r="683" ht="15.75" customHeight="1" s="23"/>
    <row r="684" ht="15.75" customHeight="1" s="23"/>
    <row r="685" ht="15.75" customHeight="1" s="23"/>
    <row r="686" ht="15.75" customHeight="1" s="23"/>
    <row r="687" ht="15.75" customHeight="1" s="23"/>
    <row r="688" ht="15.75" customHeight="1" s="23"/>
    <row r="689" ht="15.75" customHeight="1" s="23"/>
    <row r="690" ht="15.75" customHeight="1" s="23"/>
    <row r="691" ht="15.75" customHeight="1" s="23"/>
    <row r="692" ht="15.75" customHeight="1" s="23"/>
    <row r="693" ht="15.75" customHeight="1" s="23"/>
    <row r="694" ht="15.75" customHeight="1" s="23"/>
    <row r="695" ht="15.75" customHeight="1" s="23"/>
    <row r="696" ht="15.75" customHeight="1" s="23"/>
    <row r="697" ht="15.75" customHeight="1" s="23"/>
    <row r="698" ht="15.75" customHeight="1" s="23"/>
    <row r="699" ht="15.75" customHeight="1" s="23"/>
    <row r="700" ht="15.75" customHeight="1" s="23"/>
    <row r="701" ht="15.75" customHeight="1" s="23"/>
    <row r="702" ht="15.75" customHeight="1" s="23"/>
    <row r="703" ht="15.75" customHeight="1" s="23"/>
    <row r="704" ht="15.75" customHeight="1" s="23"/>
    <row r="705" ht="15.75" customHeight="1" s="23"/>
    <row r="706" ht="15.75" customHeight="1" s="23"/>
    <row r="707" ht="15.75" customHeight="1" s="23"/>
    <row r="708" ht="15.75" customHeight="1" s="23"/>
    <row r="709" ht="15.75" customHeight="1" s="23"/>
    <row r="710" ht="15.75" customHeight="1" s="23"/>
    <row r="711" ht="15.75" customHeight="1" s="23"/>
    <row r="712" ht="15.75" customHeight="1" s="23"/>
    <row r="713" ht="15.75" customHeight="1" s="23"/>
    <row r="714" ht="15.75" customHeight="1" s="23"/>
    <row r="715" ht="15.75" customHeight="1" s="23"/>
    <row r="716" ht="15.75" customHeight="1" s="23"/>
    <row r="717" ht="15.75" customHeight="1" s="23"/>
    <row r="718" ht="15.75" customHeight="1" s="23"/>
    <row r="719" ht="15.75" customHeight="1" s="23"/>
    <row r="720" ht="15.75" customHeight="1" s="23"/>
    <row r="721" ht="15.75" customHeight="1" s="23"/>
    <row r="722" ht="15.75" customHeight="1" s="23"/>
    <row r="723" ht="15.75" customHeight="1" s="23"/>
    <row r="724" ht="15.75" customHeight="1" s="23"/>
    <row r="725" ht="15.75" customHeight="1" s="23"/>
    <row r="726" ht="15.75" customHeight="1" s="23"/>
    <row r="727" ht="15.75" customHeight="1" s="23"/>
    <row r="728" ht="15.75" customHeight="1" s="23"/>
    <row r="729" ht="15.75" customHeight="1" s="23"/>
    <row r="730" ht="15.75" customHeight="1" s="23"/>
    <row r="731" ht="15.75" customHeight="1" s="23"/>
    <row r="732" ht="15.75" customHeight="1" s="23"/>
    <row r="733" ht="15.75" customHeight="1" s="23"/>
    <row r="734" ht="15.75" customHeight="1" s="23"/>
    <row r="735" ht="15.75" customHeight="1" s="23"/>
    <row r="736" ht="15.75" customHeight="1" s="23"/>
    <row r="737" ht="15.75" customHeight="1" s="23"/>
    <row r="738" ht="15.75" customHeight="1" s="23"/>
    <row r="739" ht="15.75" customHeight="1" s="23"/>
    <row r="740" ht="15.75" customHeight="1" s="23"/>
    <row r="741" ht="15.75" customHeight="1" s="23"/>
    <row r="742" ht="15.75" customHeight="1" s="23"/>
    <row r="743" ht="15.75" customHeight="1" s="23"/>
    <row r="744" ht="15.75" customHeight="1" s="23"/>
    <row r="745" ht="15.75" customHeight="1" s="23"/>
    <row r="746" ht="15.75" customHeight="1" s="23"/>
    <row r="747" ht="15.75" customHeight="1" s="23"/>
    <row r="748" ht="15.75" customHeight="1" s="23"/>
    <row r="749" ht="15.75" customHeight="1" s="23"/>
    <row r="750" ht="15.75" customHeight="1" s="23"/>
    <row r="751" ht="15.75" customHeight="1" s="23"/>
    <row r="752" ht="15.75" customHeight="1" s="23"/>
    <row r="753" ht="15.75" customHeight="1" s="23"/>
    <row r="754" ht="15.75" customHeight="1" s="23"/>
    <row r="755" ht="15.75" customHeight="1" s="23"/>
    <row r="756" ht="15.75" customHeight="1" s="23"/>
    <row r="757" ht="15.75" customHeight="1" s="23"/>
    <row r="758" ht="15.75" customHeight="1" s="23"/>
    <row r="759" ht="15.75" customHeight="1" s="23"/>
    <row r="760" ht="15.75" customHeight="1" s="23"/>
    <row r="761" ht="15.75" customHeight="1" s="23"/>
    <row r="762" ht="15.75" customHeight="1" s="23"/>
    <row r="763" ht="15.75" customHeight="1" s="23"/>
    <row r="764" ht="15.75" customHeight="1" s="23"/>
    <row r="765" ht="15.75" customHeight="1" s="23"/>
    <row r="766" ht="15.75" customHeight="1" s="23"/>
    <row r="767" ht="15.75" customHeight="1" s="23"/>
    <row r="768" ht="15.75" customHeight="1" s="23"/>
    <row r="769" ht="15.75" customHeight="1" s="23"/>
    <row r="770" ht="15.75" customHeight="1" s="23"/>
    <row r="771" ht="15.75" customHeight="1" s="23"/>
    <row r="772" ht="15.75" customHeight="1" s="23"/>
    <row r="773" ht="15.75" customHeight="1" s="23"/>
    <row r="774" ht="15.75" customHeight="1" s="23"/>
    <row r="775" ht="15.75" customHeight="1" s="23"/>
    <row r="776" ht="15.75" customHeight="1" s="23"/>
    <row r="777" ht="15.75" customHeight="1" s="23"/>
    <row r="778" ht="15.75" customHeight="1" s="23"/>
    <row r="779" ht="15.75" customHeight="1" s="23"/>
    <row r="780" ht="15.75" customHeight="1" s="23"/>
    <row r="781" ht="15.75" customHeight="1" s="23"/>
    <row r="782" ht="15.75" customHeight="1" s="23"/>
    <row r="783" ht="15.75" customHeight="1" s="23"/>
    <row r="784" ht="15.75" customHeight="1" s="23"/>
    <row r="785" ht="15.75" customHeight="1" s="23"/>
    <row r="786" ht="15.75" customHeight="1" s="23"/>
    <row r="787" ht="15.75" customHeight="1" s="23"/>
    <row r="788" ht="15.75" customHeight="1" s="23"/>
    <row r="789" ht="15.75" customHeight="1" s="23"/>
    <row r="790" ht="15.75" customHeight="1" s="23"/>
    <row r="791" ht="15.75" customHeight="1" s="23"/>
    <row r="792" ht="15.75" customHeight="1" s="23"/>
    <row r="793" ht="15.75" customHeight="1" s="23"/>
    <row r="794" ht="15.75" customHeight="1" s="23"/>
    <row r="795" ht="15.75" customHeight="1" s="23"/>
    <row r="796" ht="15.75" customHeight="1" s="23"/>
    <row r="797" ht="15.75" customHeight="1" s="23"/>
    <row r="798" ht="15.75" customHeight="1" s="23"/>
    <row r="799" ht="15.75" customHeight="1" s="23"/>
    <row r="800" ht="15.75" customHeight="1" s="23"/>
    <row r="801" ht="15.75" customHeight="1" s="23"/>
    <row r="802" ht="15.75" customHeight="1" s="23"/>
    <row r="803" ht="15.75" customHeight="1" s="23"/>
    <row r="804" ht="15.75" customHeight="1" s="23"/>
    <row r="805" ht="15.75" customHeight="1" s="23"/>
    <row r="806" ht="15.75" customHeight="1" s="23"/>
    <row r="807" ht="15.75" customHeight="1" s="23"/>
    <row r="808" ht="15.75" customHeight="1" s="23"/>
    <row r="809" ht="15.75" customHeight="1" s="23"/>
    <row r="810" ht="15.75" customHeight="1" s="23"/>
    <row r="811" ht="15.75" customHeight="1" s="23"/>
    <row r="812" ht="15.75" customHeight="1" s="23"/>
    <row r="813" ht="15.75" customHeight="1" s="23"/>
    <row r="814" ht="15.75" customHeight="1" s="23"/>
    <row r="815" ht="15.75" customHeight="1" s="23"/>
    <row r="816" ht="15.75" customHeight="1" s="23"/>
    <row r="817" ht="15.75" customHeight="1" s="23"/>
    <row r="818" ht="15.75" customHeight="1" s="23"/>
    <row r="819" ht="15.75" customHeight="1" s="23"/>
    <row r="820" ht="15.75" customHeight="1" s="23"/>
    <row r="821" ht="15.75" customHeight="1" s="23"/>
    <row r="822" ht="15.75" customHeight="1" s="23"/>
    <row r="823" ht="15.75" customHeight="1" s="23"/>
    <row r="824" ht="15.75" customHeight="1" s="23"/>
    <row r="825" ht="15.75" customHeight="1" s="23"/>
    <row r="826" ht="15.75" customHeight="1" s="23"/>
    <row r="827" ht="15.75" customHeight="1" s="23"/>
    <row r="828" ht="15.75" customHeight="1" s="23"/>
    <row r="829" ht="15.75" customHeight="1" s="23"/>
    <row r="830" ht="15.75" customHeight="1" s="23"/>
    <row r="831" ht="15.75" customHeight="1" s="23"/>
    <row r="832" ht="15.75" customHeight="1" s="23"/>
    <row r="833" ht="15.75" customHeight="1" s="23"/>
    <row r="834" ht="15.75" customHeight="1" s="23"/>
    <row r="835" ht="15.75" customHeight="1" s="23"/>
    <row r="836" ht="15.75" customHeight="1" s="23"/>
    <row r="837" ht="15.75" customHeight="1" s="23"/>
    <row r="838" ht="15.75" customHeight="1" s="23"/>
    <row r="839" ht="15.75" customHeight="1" s="23"/>
    <row r="840" ht="15.75" customHeight="1" s="23"/>
    <row r="841" ht="15.75" customHeight="1" s="23"/>
    <row r="842" ht="15.75" customHeight="1" s="23"/>
    <row r="843" ht="15.75" customHeight="1" s="23"/>
    <row r="844" ht="15.75" customHeight="1" s="23"/>
    <row r="845" ht="15.75" customHeight="1" s="23"/>
    <row r="846" ht="15.75" customHeight="1" s="23"/>
    <row r="847" ht="15.75" customHeight="1" s="23"/>
    <row r="848" ht="15.75" customHeight="1" s="23"/>
    <row r="849" ht="15.75" customHeight="1" s="23"/>
    <row r="850" ht="15.75" customHeight="1" s="23"/>
    <row r="851" ht="15.75" customHeight="1" s="23"/>
    <row r="852" ht="15.75" customHeight="1" s="23"/>
    <row r="853" ht="15.75" customHeight="1" s="23"/>
    <row r="854" ht="15.75" customHeight="1" s="23"/>
    <row r="855" ht="15.75" customHeight="1" s="23"/>
    <row r="856" ht="15.75" customHeight="1" s="23"/>
    <row r="857" ht="15.75" customHeight="1" s="23"/>
    <row r="858" ht="15.75" customHeight="1" s="23"/>
    <row r="859" ht="15.75" customHeight="1" s="23"/>
    <row r="860" ht="15.75" customHeight="1" s="23"/>
    <row r="861" ht="15.75" customHeight="1" s="23"/>
    <row r="862" ht="15.75" customHeight="1" s="23"/>
    <row r="863" ht="15.75" customHeight="1" s="23"/>
    <row r="864" ht="15.75" customHeight="1" s="23"/>
    <row r="865" ht="15.75" customHeight="1" s="23"/>
    <row r="866" ht="15.75" customHeight="1" s="23"/>
    <row r="867" ht="15.75" customHeight="1" s="23"/>
    <row r="868" ht="15.75" customHeight="1" s="23"/>
    <row r="869" ht="15.75" customHeight="1" s="23"/>
    <row r="870" ht="15.75" customHeight="1" s="23"/>
    <row r="871" ht="15.75" customHeight="1" s="23"/>
    <row r="872" ht="15.75" customHeight="1" s="23"/>
    <row r="873" ht="15.75" customHeight="1" s="23"/>
    <row r="874" ht="15.75" customHeight="1" s="23"/>
    <row r="875" ht="15.75" customHeight="1" s="23"/>
    <row r="876" ht="15.75" customHeight="1" s="23"/>
    <row r="877" ht="15.75" customHeight="1" s="23"/>
    <row r="878" ht="15.75" customHeight="1" s="23"/>
    <row r="879" ht="15.75" customHeight="1" s="23"/>
    <row r="880" ht="15.75" customHeight="1" s="23"/>
    <row r="881" ht="15.75" customHeight="1" s="23"/>
    <row r="882" ht="15.75" customHeight="1" s="23"/>
    <row r="883" ht="15.75" customHeight="1" s="23"/>
    <row r="884" ht="15.75" customHeight="1" s="23"/>
    <row r="885" ht="15.75" customHeight="1" s="23"/>
    <row r="886" ht="15.75" customHeight="1" s="23"/>
    <row r="887" ht="15.75" customHeight="1" s="23"/>
    <row r="888" ht="15.75" customHeight="1" s="23"/>
    <row r="889" ht="15.75" customHeight="1" s="23"/>
    <row r="890" ht="15.75" customHeight="1" s="23"/>
    <row r="891" ht="15.75" customHeight="1" s="23"/>
    <row r="892" ht="15.75" customHeight="1" s="23"/>
    <row r="893" ht="15.75" customHeight="1" s="23"/>
    <row r="894" ht="15.75" customHeight="1" s="23"/>
    <row r="895" ht="15.75" customHeight="1" s="23"/>
    <row r="896" ht="15.75" customHeight="1" s="23"/>
    <row r="897" ht="15.75" customHeight="1" s="23"/>
    <row r="898" ht="15.75" customHeight="1" s="23"/>
    <row r="899" ht="15.75" customHeight="1" s="23"/>
    <row r="900" ht="15.75" customHeight="1" s="23"/>
    <row r="901" ht="15.75" customHeight="1" s="23"/>
    <row r="902" ht="15.75" customHeight="1" s="23"/>
    <row r="903" ht="15.75" customHeight="1" s="23"/>
    <row r="904" ht="15.75" customHeight="1" s="23"/>
    <row r="905" ht="15.75" customHeight="1" s="23"/>
    <row r="906" ht="15.75" customHeight="1" s="23"/>
    <row r="907" ht="15.75" customHeight="1" s="23"/>
    <row r="908" ht="15.75" customHeight="1" s="23"/>
    <row r="909" ht="15.75" customHeight="1" s="23"/>
    <row r="910" ht="15.75" customHeight="1" s="23"/>
    <row r="911" ht="15.75" customHeight="1" s="23"/>
    <row r="912" ht="15.75" customHeight="1" s="23"/>
    <row r="913" ht="15.75" customHeight="1" s="23"/>
    <row r="914" ht="15.75" customHeight="1" s="23"/>
    <row r="915" ht="15.75" customHeight="1" s="23"/>
    <row r="916" ht="15.75" customHeight="1" s="23"/>
    <row r="917" ht="15.75" customHeight="1" s="23"/>
    <row r="918" ht="15.75" customHeight="1" s="23"/>
    <row r="919" ht="15.75" customHeight="1" s="23"/>
    <row r="920" ht="15.75" customHeight="1" s="23"/>
    <row r="921" ht="15.75" customHeight="1" s="23"/>
    <row r="922" ht="15.75" customHeight="1" s="23"/>
    <row r="923" ht="15.75" customHeight="1" s="23"/>
    <row r="924" ht="15.75" customHeight="1" s="23"/>
    <row r="925" ht="15.75" customHeight="1" s="23"/>
    <row r="926" ht="15.75" customHeight="1" s="23"/>
    <row r="927" ht="15.75" customHeight="1" s="23"/>
    <row r="928" ht="15.75" customHeight="1" s="23"/>
    <row r="929" ht="15.75" customHeight="1" s="23"/>
    <row r="930" ht="15.75" customHeight="1" s="23"/>
    <row r="931" ht="15.75" customHeight="1" s="23"/>
    <row r="932" ht="15.75" customHeight="1" s="23"/>
    <row r="933" ht="15.75" customHeight="1" s="23"/>
    <row r="934" ht="15.75" customHeight="1" s="23"/>
    <row r="935" ht="15.75" customHeight="1" s="23"/>
    <row r="936" ht="15.75" customHeight="1" s="23"/>
    <row r="937" ht="15.75" customHeight="1" s="23"/>
    <row r="938" ht="15.75" customHeight="1" s="23"/>
    <row r="939" ht="15.75" customHeight="1" s="23"/>
    <row r="940" ht="15.75" customHeight="1" s="23"/>
    <row r="941" ht="15.75" customHeight="1" s="23"/>
    <row r="942" ht="15.75" customHeight="1" s="23"/>
    <row r="943" ht="15.75" customHeight="1" s="23"/>
    <row r="944" ht="15.75" customHeight="1" s="23"/>
    <row r="945" ht="15.75" customHeight="1" s="23"/>
    <row r="946" ht="15.75" customHeight="1" s="23"/>
    <row r="947" ht="15.75" customHeight="1" s="23"/>
    <row r="948" ht="15.75" customHeight="1" s="23"/>
    <row r="949" ht="15.75" customHeight="1" s="23"/>
    <row r="950" ht="15.75" customHeight="1" s="23"/>
    <row r="951" ht="15.75" customHeight="1" s="23"/>
    <row r="952" ht="15.75" customHeight="1" s="23"/>
    <row r="953" ht="15.75" customHeight="1" s="23"/>
    <row r="954" ht="15.75" customHeight="1" s="23"/>
    <row r="955" ht="15.75" customHeight="1" s="23"/>
    <row r="956" ht="15.75" customHeight="1" s="23"/>
    <row r="957" ht="15.75" customHeight="1" s="23"/>
    <row r="958" ht="15.75" customHeight="1" s="23"/>
    <row r="959" ht="15.75" customHeight="1" s="23"/>
    <row r="960" ht="15.75" customHeight="1" s="23"/>
    <row r="961" ht="15.75" customHeight="1" s="23"/>
    <row r="962" ht="15.75" customHeight="1" s="23"/>
    <row r="963" ht="15.75" customHeight="1" s="23"/>
    <row r="964" ht="15.75" customHeight="1" s="23"/>
    <row r="965" ht="15.75" customHeight="1" s="23"/>
    <row r="966" ht="15.75" customHeight="1" s="23"/>
    <row r="967" ht="15.75" customHeight="1" s="23"/>
    <row r="968" ht="15.75" customHeight="1" s="23"/>
    <row r="969" ht="15.75" customHeight="1" s="23"/>
    <row r="970" ht="15.75" customHeight="1" s="23"/>
    <row r="971" ht="15.75" customHeight="1" s="23"/>
    <row r="972" ht="15.75" customHeight="1" s="23"/>
    <row r="973" ht="15.75" customHeight="1" s="23"/>
    <row r="974" ht="15.75" customHeight="1" s="23"/>
    <row r="975" ht="15.75" customHeight="1" s="23"/>
    <row r="976" ht="15.75" customHeight="1" s="23"/>
    <row r="977" ht="15.75" customHeight="1" s="23"/>
    <row r="978" ht="15.75" customHeight="1" s="23"/>
    <row r="979" ht="15.75" customHeight="1" s="23"/>
    <row r="980" ht="15.75" customHeight="1" s="23"/>
    <row r="981" ht="15.75" customHeight="1" s="23"/>
    <row r="982" ht="15.75" customHeight="1" s="23"/>
    <row r="983" ht="15.75" customHeight="1" s="23"/>
    <row r="984" ht="15.75" customHeight="1" s="23"/>
    <row r="985" ht="15.75" customHeight="1" s="23"/>
    <row r="986" ht="15.75" customHeight="1" s="23"/>
    <row r="987" ht="15.75" customHeight="1" s="23"/>
    <row r="988" ht="15.75" customHeight="1" s="23"/>
    <row r="989" ht="15.75" customHeight="1" s="23"/>
    <row r="990" ht="15.75" customHeight="1" s="23"/>
    <row r="991" ht="15.75" customHeight="1" s="23"/>
    <row r="992" ht="15.75" customHeight="1" s="23"/>
    <row r="993" ht="15.75" customHeight="1" s="23"/>
    <row r="994" ht="15.75" customHeight="1" s="23"/>
    <row r="995" ht="15.75" customHeight="1" s="23"/>
    <row r="996" ht="15.75" customHeight="1" s="23"/>
    <row r="997" ht="15.75" customHeight="1" s="23"/>
    <row r="998" ht="15.75" customHeight="1" s="23"/>
    <row r="999" ht="15.75" customHeight="1" s="23"/>
    <row r="1000" ht="15.75" customHeight="1" s="23"/>
  </sheetData>
  <autoFilter ref="$A$5:$H$51"/>
  <mergeCells count="4">
    <mergeCell ref="A4:H4"/>
    <mergeCell ref="A3:H3"/>
    <mergeCell ref="A2:H2"/>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ColWidth="14.43" defaultRowHeight="15" customHeight="1"/>
  <cols>
    <col width="110" customWidth="1" style="23" min="1" max="1"/>
    <col width="8.710000000000001" customWidth="1" style="23" min="2" max="26"/>
  </cols>
  <sheetData>
    <row r="1">
      <c r="A1" s="1" t="inlineStr">
        <is>
          <t>ADJUDICATION RULES (applied to all 46 disagreements on 21-Jul-2026)</t>
        </is>
      </c>
    </row>
    <row r="2">
      <c r="A2" s="2" t="inlineStr">
        <is>
          <t>Rule 1 — Concept rule: a question is judged on whether the corpus answers its underlying concept, not whether the</t>
        </is>
      </c>
    </row>
    <row r="3">
      <c r="A3" s="2" t="inlineStr">
        <is>
          <t xml:space="preserve">   question's wording appears in the text. Paraphrase disguise tests the retrieval system, not the annotator.</t>
        </is>
      </c>
    </row>
    <row r="4">
      <c r="A4" s="2" t="inlineStr">
        <is>
          <t>Rule 2 — Boundary rule: TANGENTIAL if the corpus covers the adjacent topic but not the asked specifics;</t>
        </is>
      </c>
    </row>
    <row r="5">
      <c r="A5" s="2" t="inlineStr">
        <is>
          <t xml:space="preserve">   OUT-OF-SCOPE if the premise targets content wholly outside the corpus (unrelated domain, external artifact,</t>
        </is>
      </c>
    </row>
    <row r="6">
      <c r="A6" s="2" t="inlineStr">
        <is>
          <t xml:space="preserve">   or false premise about the corpus), regardless of vocabulary overlap.</t>
        </is>
      </c>
    </row>
    <row r="7">
      <c r="A7" s="2" t="inlineStr">
        <is>
          <t>Rule 3 — Evidence rule: factual disputes ('does the book teach X?') are settled by verified page evidence.</t>
        </is>
      </c>
    </row>
    <row r="8">
      <c r="A8" s="2" t="n"/>
    </row>
    <row r="9">
      <c r="A9" s="1" t="inlineStr">
        <is>
          <t>PROVENANCE &amp; RATIFICATION STATUS</t>
        </is>
      </c>
    </row>
    <row r="10">
      <c r="A10" s="2" t="inlineStr">
        <is>
          <t>Rules written and applied by Claude (Anthropic) at the corresponding author's request; per-row reasoning is appended</t>
        </is>
      </c>
    </row>
    <row r="11">
      <c r="A11" s="2" t="inlineStr">
        <is>
          <t>to each row's Notes on the Questions sheet and shown on the Adjudication guide sheet.</t>
        </is>
      </c>
    </row>
    <row r="12">
      <c r="A12" s="2" t="inlineStr">
        <is>
          <t>PENDING: both annotators (V. Ramachandran, M. Vedanta) must review the 46 resolutions and confirm by email</t>
        </is>
      </c>
    </row>
    <row r="13">
      <c r="A13" s="2" t="inlineStr">
        <is>
          <t>('ratified' or row-specific vetoes) BEFORE the benchmark is frozen. Do not freeze without both confirmations.</t>
        </is>
      </c>
    </row>
    <row r="14">
      <c r="A14" s="2" t="inlineStr">
        <is>
          <t>Q005 was narrowed during adjudication (list slicing verified absent — caught by annotator V).</t>
        </is>
      </c>
    </row>
    <row r="15">
      <c r="A15" s="2" t="n"/>
    </row>
    <row r="16">
      <c r="A16" s="2" t="inlineStr">
        <is>
          <t>Paper methods wording: 'Inter-annotator disagreements (46/150; kappa = 0.49) were resolved by applying three</t>
        </is>
      </c>
    </row>
    <row r="17">
      <c r="A17" s="2" t="inlineStr">
        <is>
          <t>written adjudication rules; rule application was LLM-assisted and all resolutions were reviewed and ratified by</t>
        </is>
      </c>
    </row>
    <row r="18">
      <c r="A18" s="2" t="inlineStr">
        <is>
          <t>both human annotators before the benchmark was frozen.'</t>
        </is>
      </c>
    </row>
    <row r="19">
      <c r="A19" s="24" t="inlineStr">
        <is>
          <t>Q068 In-scope CONFIRMED by V (03-Aug-2026). RATIFICATION COMPLETE FOR ALL 150 ROWS — BENCHMARK IS FREEZE-READY.</t>
        </is>
      </c>
    </row>
    <row r="21" ht="15.75" customHeight="1" s="23"/>
    <row r="22" ht="15.75" customHeight="1" s="23"/>
    <row r="23" ht="15.75" customHeight="1" s="23"/>
    <row r="24" ht="15.75" customHeight="1" s="23"/>
    <row r="25" ht="15.75" customHeight="1" s="23"/>
    <row r="26" ht="15.75" customHeight="1" s="23"/>
    <row r="27" ht="15.75" customHeight="1" s="23"/>
    <row r="28" ht="15.75" customHeight="1" s="23"/>
    <row r="29" ht="15.75" customHeight="1" s="23"/>
    <row r="30" ht="15.75" customHeight="1" s="23"/>
    <row r="31" ht="15.75" customHeight="1" s="23"/>
    <row r="32" ht="15.75" customHeight="1" s="23"/>
    <row r="33" ht="15.75" customHeight="1" s="23"/>
    <row r="34" ht="15.75" customHeight="1" s="23"/>
    <row r="35" ht="15.75" customHeight="1" s="23"/>
    <row r="36" ht="15.75" customHeight="1" s="23"/>
    <row r="37" ht="15.75" customHeight="1" s="23"/>
    <row r="38" ht="15.75" customHeight="1" s="23"/>
    <row r="39" ht="15.75" customHeight="1" s="23"/>
    <row r="40" ht="15.75" customHeight="1" s="23"/>
    <row r="41" ht="15.75" customHeight="1" s="23"/>
    <row r="42" ht="15.75" customHeight="1" s="23"/>
    <row r="43" ht="15.75" customHeight="1" s="23"/>
    <row r="44" ht="15.75" customHeight="1" s="23"/>
    <row r="45" ht="15.75" customHeight="1" s="23"/>
    <row r="46" ht="15.75" customHeight="1" s="23"/>
    <row r="47" ht="15.75" customHeight="1" s="23"/>
    <row r="48" ht="15.75" customHeight="1" s="23"/>
    <row r="49" ht="15.75" customHeight="1" s="23"/>
    <row r="50" ht="15.75" customHeight="1" s="23"/>
    <row r="51" ht="15.75" customHeight="1" s="23"/>
    <row r="52" ht="15.75" customHeight="1" s="23"/>
    <row r="53" ht="15.75" customHeight="1" s="23"/>
    <row r="54" ht="15.75" customHeight="1" s="23"/>
    <row r="55" ht="15.75" customHeight="1" s="23"/>
    <row r="56" ht="15.75" customHeight="1" s="23"/>
    <row r="57" ht="15.75" customHeight="1" s="23"/>
    <row r="58" ht="15.75" customHeight="1" s="23"/>
    <row r="59" ht="15.75" customHeight="1" s="23"/>
    <row r="60" ht="15.75" customHeight="1" s="23"/>
    <row r="61" ht="15.75" customHeight="1" s="23"/>
    <row r="62" ht="15.75" customHeight="1" s="23"/>
    <row r="63" ht="15.75" customHeight="1" s="23"/>
    <row r="64" ht="15.75" customHeight="1" s="23"/>
    <row r="65" ht="15.75" customHeight="1" s="23"/>
    <row r="66" ht="15.75" customHeight="1" s="23"/>
    <row r="67" ht="15.75" customHeight="1" s="23"/>
    <row r="68" ht="15.75" customHeight="1" s="23"/>
    <row r="69" ht="15.75" customHeight="1" s="23"/>
    <row r="70" ht="15.75" customHeight="1" s="23"/>
    <row r="71" ht="15.75" customHeight="1" s="23"/>
    <row r="72" ht="15.75" customHeight="1" s="23"/>
    <row r="73" ht="15.75" customHeight="1" s="23"/>
    <row r="74" ht="15.75" customHeight="1" s="23"/>
    <row r="75" ht="15.75" customHeight="1" s="23"/>
    <row r="76" ht="15.75" customHeight="1" s="23"/>
    <row r="77" ht="15.75" customHeight="1" s="23"/>
    <row r="78" ht="15.75" customHeight="1" s="23"/>
    <row r="79" ht="15.75" customHeight="1" s="23"/>
    <row r="80" ht="15.75" customHeight="1" s="23"/>
    <row r="81" ht="15.75" customHeight="1" s="23"/>
    <row r="82" ht="15.75" customHeight="1" s="23"/>
    <row r="83" ht="15.75" customHeight="1" s="23"/>
    <row r="84" ht="15.75" customHeight="1" s="23"/>
    <row r="85" ht="15.75" customHeight="1" s="23"/>
    <row r="86" ht="15.75" customHeight="1" s="23"/>
    <row r="87" ht="15.75" customHeight="1" s="23"/>
    <row r="88" ht="15.75" customHeight="1" s="23"/>
    <row r="89" ht="15.75" customHeight="1" s="23"/>
    <row r="90" ht="15.75" customHeight="1" s="23"/>
    <row r="91" ht="15.75" customHeight="1" s="23"/>
    <row r="92" ht="15.75" customHeight="1" s="23"/>
    <row r="93" ht="15.75" customHeight="1" s="23"/>
    <row r="94" ht="15.75" customHeight="1" s="23"/>
    <row r="95" ht="15.75" customHeight="1" s="23"/>
    <row r="96" ht="15.75" customHeight="1" s="23"/>
    <row r="97" ht="15.75" customHeight="1" s="23"/>
    <row r="98" ht="15.75" customHeight="1" s="23"/>
    <row r="99" ht="15.75" customHeight="1" s="23"/>
    <row r="100" ht="15.75" customHeight="1" s="23"/>
    <row r="101" ht="15.75" customHeight="1" s="23"/>
    <row r="102" ht="15.75" customHeight="1" s="23"/>
    <row r="103" ht="15.75" customHeight="1" s="23"/>
    <row r="104" ht="15.75" customHeight="1" s="23"/>
    <row r="105" ht="15.75" customHeight="1" s="23"/>
    <row r="106" ht="15.75" customHeight="1" s="23"/>
    <row r="107" ht="15.75" customHeight="1" s="23"/>
    <row r="108" ht="15.75" customHeight="1" s="23"/>
    <row r="109" ht="15.75" customHeight="1" s="23"/>
    <row r="110" ht="15.75" customHeight="1" s="23"/>
    <row r="111" ht="15.75" customHeight="1" s="23"/>
    <row r="112" ht="15.75" customHeight="1" s="23"/>
    <row r="113" ht="15.75" customHeight="1" s="23"/>
    <row r="114" ht="15.75" customHeight="1" s="23"/>
    <row r="115" ht="15.75" customHeight="1" s="23"/>
    <row r="116" ht="15.75" customHeight="1" s="23"/>
    <row r="117" ht="15.75" customHeight="1" s="23"/>
    <row r="118" ht="15.75" customHeight="1" s="23"/>
    <row r="119" ht="15.75" customHeight="1" s="23"/>
    <row r="120" ht="15.75" customHeight="1" s="23"/>
    <row r="121" ht="15.75" customHeight="1" s="23"/>
    <row r="122" ht="15.75" customHeight="1" s="23"/>
    <row r="123" ht="15.75" customHeight="1" s="23"/>
    <row r="124" ht="15.75" customHeight="1" s="23"/>
    <row r="125" ht="15.75" customHeight="1" s="23"/>
    <row r="126" ht="15.75" customHeight="1" s="23"/>
    <row r="127" ht="15.75" customHeight="1" s="23"/>
    <row r="128" ht="15.75" customHeight="1" s="23"/>
    <row r="129" ht="15.75" customHeight="1" s="23"/>
    <row r="130" ht="15.75" customHeight="1" s="23"/>
    <row r="131" ht="15.75" customHeight="1" s="23"/>
    <row r="132" ht="15.75" customHeight="1" s="23"/>
    <row r="133" ht="15.75" customHeight="1" s="23"/>
    <row r="134" ht="15.75" customHeight="1" s="23"/>
    <row r="135" ht="15.75" customHeight="1" s="23"/>
    <row r="136" ht="15.75" customHeight="1" s="23"/>
    <row r="137" ht="15.75" customHeight="1" s="23"/>
    <row r="138" ht="15.75" customHeight="1" s="23"/>
    <row r="139" ht="15.75" customHeight="1" s="23"/>
    <row r="140" ht="15.75" customHeight="1" s="23"/>
    <row r="141" ht="15.75" customHeight="1" s="23"/>
    <row r="142" ht="15.75" customHeight="1" s="23"/>
    <row r="143" ht="15.75" customHeight="1" s="23"/>
    <row r="144" ht="15.75" customHeight="1" s="23"/>
    <row r="145" ht="15.75" customHeight="1" s="23"/>
    <row r="146" ht="15.75" customHeight="1" s="23"/>
    <row r="147" ht="15.75" customHeight="1" s="23"/>
    <row r="148" ht="15.75" customHeight="1" s="23"/>
    <row r="149" ht="15.75" customHeight="1" s="23"/>
    <row r="150" ht="15.75" customHeight="1" s="23"/>
    <row r="151" ht="15.75" customHeight="1" s="23"/>
    <row r="152" ht="15.75" customHeight="1" s="23"/>
    <row r="153" ht="15.75" customHeight="1" s="23"/>
    <row r="154" ht="15.75" customHeight="1" s="23"/>
    <row r="155" ht="15.75" customHeight="1" s="23"/>
    <row r="156" ht="15.75" customHeight="1" s="23"/>
    <row r="157" ht="15.75" customHeight="1" s="23"/>
    <row r="158" ht="15.75" customHeight="1" s="23"/>
    <row r="159" ht="15.75" customHeight="1" s="23"/>
    <row r="160" ht="15.75" customHeight="1" s="23"/>
    <row r="161" ht="15.75" customHeight="1" s="23"/>
    <row r="162" ht="15.75" customHeight="1" s="23"/>
    <row r="163" ht="15.75" customHeight="1" s="23"/>
    <row r="164" ht="15.75" customHeight="1" s="23"/>
    <row r="165" ht="15.75" customHeight="1" s="23"/>
    <row r="166" ht="15.75" customHeight="1" s="23"/>
    <row r="167" ht="15.75" customHeight="1" s="23"/>
    <row r="168" ht="15.75" customHeight="1" s="23"/>
    <row r="169" ht="15.75" customHeight="1" s="23"/>
    <row r="170" ht="15.75" customHeight="1" s="23"/>
    <row r="171" ht="15.75" customHeight="1" s="23"/>
    <row r="172" ht="15.75" customHeight="1" s="23"/>
    <row r="173" ht="15.75" customHeight="1" s="23"/>
    <row r="174" ht="15.75" customHeight="1" s="23"/>
    <row r="175" ht="15.75" customHeight="1" s="23"/>
    <row r="176" ht="15.75" customHeight="1" s="23"/>
    <row r="177" ht="15.75" customHeight="1" s="23"/>
    <row r="178" ht="15.75" customHeight="1" s="23"/>
    <row r="179" ht="15.75" customHeight="1" s="23"/>
    <row r="180" ht="15.75" customHeight="1" s="23"/>
    <row r="181" ht="15.75" customHeight="1" s="23"/>
    <row r="182" ht="15.75" customHeight="1" s="23"/>
    <row r="183" ht="15.75" customHeight="1" s="23"/>
    <row r="184" ht="15.75" customHeight="1" s="23"/>
    <row r="185" ht="15.75" customHeight="1" s="23"/>
    <row r="186" ht="15.75" customHeight="1" s="23"/>
    <row r="187" ht="15.75" customHeight="1" s="23"/>
    <row r="188" ht="15.75" customHeight="1" s="23"/>
    <row r="189" ht="15.75" customHeight="1" s="23"/>
    <row r="190" ht="15.75" customHeight="1" s="23"/>
    <row r="191" ht="15.75" customHeight="1" s="23"/>
    <row r="192" ht="15.75" customHeight="1" s="23"/>
    <row r="193" ht="15.75" customHeight="1" s="23"/>
    <row r="194" ht="15.75" customHeight="1" s="23"/>
    <row r="195" ht="15.75" customHeight="1" s="23"/>
    <row r="196" ht="15.75" customHeight="1" s="23"/>
    <row r="197" ht="15.75" customHeight="1" s="23"/>
    <row r="198" ht="15.75" customHeight="1" s="23"/>
    <row r="199" ht="15.75" customHeight="1" s="23"/>
    <row r="200" ht="15.75" customHeight="1" s="23"/>
    <row r="201" ht="15.75" customHeight="1" s="23"/>
    <row r="202" ht="15.75" customHeight="1" s="23"/>
    <row r="203" ht="15.75" customHeight="1" s="23"/>
    <row r="204" ht="15.75" customHeight="1" s="23"/>
    <row r="205" ht="15.75" customHeight="1" s="23"/>
    <row r="206" ht="15.75" customHeight="1" s="23"/>
    <row r="207" ht="15.75" customHeight="1" s="23"/>
    <row r="208" ht="15.75" customHeight="1" s="23"/>
    <row r="209" ht="15.75" customHeight="1" s="23"/>
    <row r="210" ht="15.75" customHeight="1" s="23"/>
    <row r="211" ht="15.75" customHeight="1" s="23"/>
    <row r="212" ht="15.75" customHeight="1" s="23"/>
    <row r="213" ht="15.75" customHeight="1" s="23"/>
    <row r="214" ht="15.75" customHeight="1" s="23"/>
    <row r="215" ht="15.75" customHeight="1" s="23"/>
    <row r="216" ht="15.75" customHeight="1" s="23"/>
    <row r="217" ht="15.75" customHeight="1" s="23"/>
    <row r="218" ht="15.75" customHeight="1" s="23"/>
    <row r="219" ht="15.75" customHeight="1" s="23"/>
    <row r="220" ht="15.75" customHeight="1" s="23"/>
    <row r="221" ht="15.75" customHeight="1" s="23"/>
    <row r="222" ht="15.75" customHeight="1" s="23"/>
    <row r="223" ht="15.75" customHeight="1" s="23"/>
    <row r="224" ht="15.75" customHeight="1" s="23"/>
    <row r="225" ht="15.75" customHeight="1" s="23"/>
    <row r="226" ht="15.75" customHeight="1" s="23"/>
    <row r="227" ht="15.75" customHeight="1" s="23"/>
    <row r="228" ht="15.75" customHeight="1" s="23"/>
    <row r="229" ht="15.75" customHeight="1" s="23"/>
    <row r="230" ht="15.75" customHeight="1" s="23"/>
    <row r="231" ht="15.75" customHeight="1" s="23"/>
    <row r="232" ht="15.75" customHeight="1" s="23"/>
    <row r="233" ht="15.75" customHeight="1" s="23"/>
    <row r="234" ht="15.75" customHeight="1" s="23"/>
    <row r="235" ht="15.75" customHeight="1" s="23"/>
    <row r="236" ht="15.75" customHeight="1" s="23"/>
    <row r="237" ht="15.75" customHeight="1" s="23"/>
    <row r="238" ht="15.75" customHeight="1" s="23"/>
    <row r="239" ht="15.75" customHeight="1" s="23"/>
    <row r="240" ht="15.75" customHeight="1" s="23"/>
    <row r="241" ht="15.75" customHeight="1" s="23"/>
    <row r="242" ht="15.75" customHeight="1" s="23"/>
    <row r="243" ht="15.75" customHeight="1" s="23"/>
    <row r="244" ht="15.75" customHeight="1" s="23"/>
    <row r="245" ht="15.75" customHeight="1" s="23"/>
    <row r="246" ht="15.75" customHeight="1" s="23"/>
    <row r="247" ht="15.75" customHeight="1" s="23"/>
    <row r="248" ht="15.75" customHeight="1" s="23"/>
    <row r="249" ht="15.75" customHeight="1" s="23"/>
    <row r="250" ht="15.75" customHeight="1" s="23"/>
    <row r="251" ht="15.75" customHeight="1" s="23"/>
    <row r="252" ht="15.75" customHeight="1" s="23"/>
    <row r="253" ht="15.75" customHeight="1" s="23"/>
    <row r="254" ht="15.75" customHeight="1" s="23"/>
    <row r="255" ht="15.75" customHeight="1" s="23"/>
    <row r="256" ht="15.75" customHeight="1" s="23"/>
    <row r="257" ht="15.75" customHeight="1" s="23"/>
    <row r="258" ht="15.75" customHeight="1" s="23"/>
    <row r="259" ht="15.75" customHeight="1" s="23"/>
    <row r="260" ht="15.75" customHeight="1" s="23"/>
    <row r="261" ht="15.75" customHeight="1" s="23"/>
    <row r="262" ht="15.75" customHeight="1" s="23"/>
    <row r="263" ht="15.75" customHeight="1" s="23"/>
    <row r="264" ht="15.75" customHeight="1" s="23"/>
    <row r="265" ht="15.75" customHeight="1" s="23"/>
    <row r="266" ht="15.75" customHeight="1" s="23"/>
    <row r="267" ht="15.75" customHeight="1" s="23"/>
    <row r="268" ht="15.75" customHeight="1" s="23"/>
    <row r="269" ht="15.75" customHeight="1" s="23"/>
    <row r="270" ht="15.75" customHeight="1" s="23"/>
    <row r="271" ht="15.75" customHeight="1" s="23"/>
    <row r="272" ht="15.75" customHeight="1" s="23"/>
    <row r="273" ht="15.75" customHeight="1" s="23"/>
    <row r="274" ht="15.75" customHeight="1" s="23"/>
    <row r="275" ht="15.75" customHeight="1" s="23"/>
    <row r="276" ht="15.75" customHeight="1" s="23"/>
    <row r="277" ht="15.75" customHeight="1" s="23"/>
    <row r="278" ht="15.75" customHeight="1" s="23"/>
    <row r="279" ht="15.75" customHeight="1" s="23"/>
    <row r="280" ht="15.75" customHeight="1" s="23"/>
    <row r="281" ht="15.75" customHeight="1" s="23"/>
    <row r="282" ht="15.75" customHeight="1" s="23"/>
    <row r="283" ht="15.75" customHeight="1" s="23"/>
    <row r="284" ht="15.75" customHeight="1" s="23"/>
    <row r="285" ht="15.75" customHeight="1" s="23"/>
    <row r="286" ht="15.75" customHeight="1" s="23"/>
    <row r="287" ht="15.75" customHeight="1" s="23"/>
    <row r="288" ht="15.75" customHeight="1" s="23"/>
    <row r="289" ht="15.75" customHeight="1" s="23"/>
    <row r="290" ht="15.75" customHeight="1" s="23"/>
    <row r="291" ht="15.75" customHeight="1" s="23"/>
    <row r="292" ht="15.75" customHeight="1" s="23"/>
    <row r="293" ht="15.75" customHeight="1" s="23"/>
    <row r="294" ht="15.75" customHeight="1" s="23"/>
    <row r="295" ht="15.75" customHeight="1" s="23"/>
    <row r="296" ht="15.75" customHeight="1" s="23"/>
    <row r="297" ht="15.75" customHeight="1" s="23"/>
    <row r="298" ht="15.75" customHeight="1" s="23"/>
    <row r="299" ht="15.75" customHeight="1" s="23"/>
    <row r="300" ht="15.75" customHeight="1" s="23"/>
    <row r="301" ht="15.75" customHeight="1" s="23"/>
    <row r="302" ht="15.75" customHeight="1" s="23"/>
    <row r="303" ht="15.75" customHeight="1" s="23"/>
    <row r="304" ht="15.75" customHeight="1" s="23"/>
    <row r="305" ht="15.75" customHeight="1" s="23"/>
    <row r="306" ht="15.75" customHeight="1" s="23"/>
    <row r="307" ht="15.75" customHeight="1" s="23"/>
    <row r="308" ht="15.75" customHeight="1" s="23"/>
    <row r="309" ht="15.75" customHeight="1" s="23"/>
    <row r="310" ht="15.75" customHeight="1" s="23"/>
    <row r="311" ht="15.75" customHeight="1" s="23"/>
    <row r="312" ht="15.75" customHeight="1" s="23"/>
    <row r="313" ht="15.75" customHeight="1" s="23"/>
    <row r="314" ht="15.75" customHeight="1" s="23"/>
    <row r="315" ht="15.75" customHeight="1" s="23"/>
    <row r="316" ht="15.75" customHeight="1" s="23"/>
    <row r="317" ht="15.75" customHeight="1" s="23"/>
    <row r="318" ht="15.75" customHeight="1" s="23"/>
    <row r="319" ht="15.75" customHeight="1" s="23"/>
    <row r="320" ht="15.75" customHeight="1" s="23"/>
    <row r="321" ht="15.75" customHeight="1" s="23"/>
    <row r="322" ht="15.75" customHeight="1" s="23"/>
    <row r="323" ht="15.75" customHeight="1" s="23"/>
    <row r="324" ht="15.75" customHeight="1" s="23"/>
    <row r="325" ht="15.75" customHeight="1" s="23"/>
    <row r="326" ht="15.75" customHeight="1" s="23"/>
    <row r="327" ht="15.75" customHeight="1" s="23"/>
    <row r="328" ht="15.75" customHeight="1" s="23"/>
    <row r="329" ht="15.75" customHeight="1" s="23"/>
    <row r="330" ht="15.75" customHeight="1" s="23"/>
    <row r="331" ht="15.75" customHeight="1" s="23"/>
    <row r="332" ht="15.75" customHeight="1" s="23"/>
    <row r="333" ht="15.75" customHeight="1" s="23"/>
    <row r="334" ht="15.75" customHeight="1" s="23"/>
    <row r="335" ht="15.75" customHeight="1" s="23"/>
    <row r="336" ht="15.75" customHeight="1" s="23"/>
    <row r="337" ht="15.75" customHeight="1" s="23"/>
    <row r="338" ht="15.75" customHeight="1" s="23"/>
    <row r="339" ht="15.75" customHeight="1" s="23"/>
    <row r="340" ht="15.75" customHeight="1" s="23"/>
    <row r="341" ht="15.75" customHeight="1" s="23"/>
    <row r="342" ht="15.75" customHeight="1" s="23"/>
    <row r="343" ht="15.75" customHeight="1" s="23"/>
    <row r="344" ht="15.75" customHeight="1" s="23"/>
    <row r="345" ht="15.75" customHeight="1" s="23"/>
    <row r="346" ht="15.75" customHeight="1" s="23"/>
    <row r="347" ht="15.75" customHeight="1" s="23"/>
    <row r="348" ht="15.75" customHeight="1" s="23"/>
    <row r="349" ht="15.75" customHeight="1" s="23"/>
    <row r="350" ht="15.75" customHeight="1" s="23"/>
    <row r="351" ht="15.75" customHeight="1" s="23"/>
    <row r="352" ht="15.75" customHeight="1" s="23"/>
    <row r="353" ht="15.75" customHeight="1" s="23"/>
    <row r="354" ht="15.75" customHeight="1" s="23"/>
    <row r="355" ht="15.75" customHeight="1" s="23"/>
    <row r="356" ht="15.75" customHeight="1" s="23"/>
    <row r="357" ht="15.75" customHeight="1" s="23"/>
    <row r="358" ht="15.75" customHeight="1" s="23"/>
    <row r="359" ht="15.75" customHeight="1" s="23"/>
    <row r="360" ht="15.75" customHeight="1" s="23"/>
    <row r="361" ht="15.75" customHeight="1" s="23"/>
    <row r="362" ht="15.75" customHeight="1" s="23"/>
    <row r="363" ht="15.75" customHeight="1" s="23"/>
    <row r="364" ht="15.75" customHeight="1" s="23"/>
    <row r="365" ht="15.75" customHeight="1" s="23"/>
    <row r="366" ht="15.75" customHeight="1" s="23"/>
    <row r="367" ht="15.75" customHeight="1" s="23"/>
    <row r="368" ht="15.75" customHeight="1" s="23"/>
    <row r="369" ht="15.75" customHeight="1" s="23"/>
    <row r="370" ht="15.75" customHeight="1" s="23"/>
    <row r="371" ht="15.75" customHeight="1" s="23"/>
    <row r="372" ht="15.75" customHeight="1" s="23"/>
    <row r="373" ht="15.75" customHeight="1" s="23"/>
    <row r="374" ht="15.75" customHeight="1" s="23"/>
    <row r="375" ht="15.75" customHeight="1" s="23"/>
    <row r="376" ht="15.75" customHeight="1" s="23"/>
    <row r="377" ht="15.75" customHeight="1" s="23"/>
    <row r="378" ht="15.75" customHeight="1" s="23"/>
    <row r="379" ht="15.75" customHeight="1" s="23"/>
    <row r="380" ht="15.75" customHeight="1" s="23"/>
    <row r="381" ht="15.75" customHeight="1" s="23"/>
    <row r="382" ht="15.75" customHeight="1" s="23"/>
    <row r="383" ht="15.75" customHeight="1" s="23"/>
    <row r="384" ht="15.75" customHeight="1" s="23"/>
    <row r="385" ht="15.75" customHeight="1" s="23"/>
    <row r="386" ht="15.75" customHeight="1" s="23"/>
    <row r="387" ht="15.75" customHeight="1" s="23"/>
    <row r="388" ht="15.75" customHeight="1" s="23"/>
    <row r="389" ht="15.75" customHeight="1" s="23"/>
    <row r="390" ht="15.75" customHeight="1" s="23"/>
    <row r="391" ht="15.75" customHeight="1" s="23"/>
    <row r="392" ht="15.75" customHeight="1" s="23"/>
    <row r="393" ht="15.75" customHeight="1" s="23"/>
    <row r="394" ht="15.75" customHeight="1" s="23"/>
    <row r="395" ht="15.75" customHeight="1" s="23"/>
    <row r="396" ht="15.75" customHeight="1" s="23"/>
    <row r="397" ht="15.75" customHeight="1" s="23"/>
    <row r="398" ht="15.75" customHeight="1" s="23"/>
    <row r="399" ht="15.75" customHeight="1" s="23"/>
    <row r="400" ht="15.75" customHeight="1" s="23"/>
    <row r="401" ht="15.75" customHeight="1" s="23"/>
    <row r="402" ht="15.75" customHeight="1" s="23"/>
    <row r="403" ht="15.75" customHeight="1" s="23"/>
    <row r="404" ht="15.75" customHeight="1" s="23"/>
    <row r="405" ht="15.75" customHeight="1" s="23"/>
    <row r="406" ht="15.75" customHeight="1" s="23"/>
    <row r="407" ht="15.75" customHeight="1" s="23"/>
    <row r="408" ht="15.75" customHeight="1" s="23"/>
    <row r="409" ht="15.75" customHeight="1" s="23"/>
    <row r="410" ht="15.75" customHeight="1" s="23"/>
    <row r="411" ht="15.75" customHeight="1" s="23"/>
    <row r="412" ht="15.75" customHeight="1" s="23"/>
    <row r="413" ht="15.75" customHeight="1" s="23"/>
    <row r="414" ht="15.75" customHeight="1" s="23"/>
    <row r="415" ht="15.75" customHeight="1" s="23"/>
    <row r="416" ht="15.75" customHeight="1" s="23"/>
    <row r="417" ht="15.75" customHeight="1" s="23"/>
    <row r="418" ht="15.75" customHeight="1" s="23"/>
    <row r="419" ht="15.75" customHeight="1" s="23"/>
    <row r="420" ht="15.75" customHeight="1" s="23"/>
    <row r="421" ht="15.75" customHeight="1" s="23"/>
    <row r="422" ht="15.75" customHeight="1" s="23"/>
    <row r="423" ht="15.75" customHeight="1" s="23"/>
    <row r="424" ht="15.75" customHeight="1" s="23"/>
    <row r="425" ht="15.75" customHeight="1" s="23"/>
    <row r="426" ht="15.75" customHeight="1" s="23"/>
    <row r="427" ht="15.75" customHeight="1" s="23"/>
    <row r="428" ht="15.75" customHeight="1" s="23"/>
    <row r="429" ht="15.75" customHeight="1" s="23"/>
    <row r="430" ht="15.75" customHeight="1" s="23"/>
    <row r="431" ht="15.75" customHeight="1" s="23"/>
    <row r="432" ht="15.75" customHeight="1" s="23"/>
    <row r="433" ht="15.75" customHeight="1" s="23"/>
    <row r="434" ht="15.75" customHeight="1" s="23"/>
    <row r="435" ht="15.75" customHeight="1" s="23"/>
    <row r="436" ht="15.75" customHeight="1" s="23"/>
    <row r="437" ht="15.75" customHeight="1" s="23"/>
    <row r="438" ht="15.75" customHeight="1" s="23"/>
    <row r="439" ht="15.75" customHeight="1" s="23"/>
    <row r="440" ht="15.75" customHeight="1" s="23"/>
    <row r="441" ht="15.75" customHeight="1" s="23"/>
    <row r="442" ht="15.75" customHeight="1" s="23"/>
    <row r="443" ht="15.75" customHeight="1" s="23"/>
    <row r="444" ht="15.75" customHeight="1" s="23"/>
    <row r="445" ht="15.75" customHeight="1" s="23"/>
    <row r="446" ht="15.75" customHeight="1" s="23"/>
    <row r="447" ht="15.75" customHeight="1" s="23"/>
    <row r="448" ht="15.75" customHeight="1" s="23"/>
    <row r="449" ht="15.75" customHeight="1" s="23"/>
    <row r="450" ht="15.75" customHeight="1" s="23"/>
    <row r="451" ht="15.75" customHeight="1" s="23"/>
    <row r="452" ht="15.75" customHeight="1" s="23"/>
    <row r="453" ht="15.75" customHeight="1" s="23"/>
    <row r="454" ht="15.75" customHeight="1" s="23"/>
    <row r="455" ht="15.75" customHeight="1" s="23"/>
    <row r="456" ht="15.75" customHeight="1" s="23"/>
    <row r="457" ht="15.75" customHeight="1" s="23"/>
    <row r="458" ht="15.75" customHeight="1" s="23"/>
    <row r="459" ht="15.75" customHeight="1" s="23"/>
    <row r="460" ht="15.75" customHeight="1" s="23"/>
    <row r="461" ht="15.75" customHeight="1" s="23"/>
    <row r="462" ht="15.75" customHeight="1" s="23"/>
    <row r="463" ht="15.75" customHeight="1" s="23"/>
    <row r="464" ht="15.75" customHeight="1" s="23"/>
    <row r="465" ht="15.75" customHeight="1" s="23"/>
    <row r="466" ht="15.75" customHeight="1" s="23"/>
    <row r="467" ht="15.75" customHeight="1" s="23"/>
    <row r="468" ht="15.75" customHeight="1" s="23"/>
    <row r="469" ht="15.75" customHeight="1" s="23"/>
    <row r="470" ht="15.75" customHeight="1" s="23"/>
    <row r="471" ht="15.75" customHeight="1" s="23"/>
    <row r="472" ht="15.75" customHeight="1" s="23"/>
    <row r="473" ht="15.75" customHeight="1" s="23"/>
    <row r="474" ht="15.75" customHeight="1" s="23"/>
    <row r="475" ht="15.75" customHeight="1" s="23"/>
    <row r="476" ht="15.75" customHeight="1" s="23"/>
    <row r="477" ht="15.75" customHeight="1" s="23"/>
    <row r="478" ht="15.75" customHeight="1" s="23"/>
    <row r="479" ht="15.75" customHeight="1" s="23"/>
    <row r="480" ht="15.75" customHeight="1" s="23"/>
    <row r="481" ht="15.75" customHeight="1" s="23"/>
    <row r="482" ht="15.75" customHeight="1" s="23"/>
    <row r="483" ht="15.75" customHeight="1" s="23"/>
    <row r="484" ht="15.75" customHeight="1" s="23"/>
    <row r="485" ht="15.75" customHeight="1" s="23"/>
    <row r="486" ht="15.75" customHeight="1" s="23"/>
    <row r="487" ht="15.75" customHeight="1" s="23"/>
    <row r="488" ht="15.75" customHeight="1" s="23"/>
    <row r="489" ht="15.75" customHeight="1" s="23"/>
    <row r="490" ht="15.75" customHeight="1" s="23"/>
    <row r="491" ht="15.75" customHeight="1" s="23"/>
    <row r="492" ht="15.75" customHeight="1" s="23"/>
    <row r="493" ht="15.75" customHeight="1" s="23"/>
    <row r="494" ht="15.75" customHeight="1" s="23"/>
    <row r="495" ht="15.75" customHeight="1" s="23"/>
    <row r="496" ht="15.75" customHeight="1" s="23"/>
    <row r="497" ht="15.75" customHeight="1" s="23"/>
    <row r="498" ht="15.75" customHeight="1" s="23"/>
    <row r="499" ht="15.75" customHeight="1" s="23"/>
    <row r="500" ht="15.75" customHeight="1" s="23"/>
    <row r="501" ht="15.75" customHeight="1" s="23"/>
    <row r="502" ht="15.75" customHeight="1" s="23"/>
    <row r="503" ht="15.75" customHeight="1" s="23"/>
    <row r="504" ht="15.75" customHeight="1" s="23"/>
    <row r="505" ht="15.75" customHeight="1" s="23"/>
    <row r="506" ht="15.75" customHeight="1" s="23"/>
    <row r="507" ht="15.75" customHeight="1" s="23"/>
    <row r="508" ht="15.75" customHeight="1" s="23"/>
    <row r="509" ht="15.75" customHeight="1" s="23"/>
    <row r="510" ht="15.75" customHeight="1" s="23"/>
    <row r="511" ht="15.75" customHeight="1" s="23"/>
    <row r="512" ht="15.75" customHeight="1" s="23"/>
    <row r="513" ht="15.75" customHeight="1" s="23"/>
    <row r="514" ht="15.75" customHeight="1" s="23"/>
    <row r="515" ht="15.75" customHeight="1" s="23"/>
    <row r="516" ht="15.75" customHeight="1" s="23"/>
    <row r="517" ht="15.75" customHeight="1" s="23"/>
    <row r="518" ht="15.75" customHeight="1" s="23"/>
    <row r="519" ht="15.75" customHeight="1" s="23"/>
    <row r="520" ht="15.75" customHeight="1" s="23"/>
    <row r="521" ht="15.75" customHeight="1" s="23"/>
    <row r="522" ht="15.75" customHeight="1" s="23"/>
    <row r="523" ht="15.75" customHeight="1" s="23"/>
    <row r="524" ht="15.75" customHeight="1" s="23"/>
    <row r="525" ht="15.75" customHeight="1" s="23"/>
    <row r="526" ht="15.75" customHeight="1" s="23"/>
    <row r="527" ht="15.75" customHeight="1" s="23"/>
    <row r="528" ht="15.75" customHeight="1" s="23"/>
    <row r="529" ht="15.75" customHeight="1" s="23"/>
    <row r="530" ht="15.75" customHeight="1" s="23"/>
    <row r="531" ht="15.75" customHeight="1" s="23"/>
    <row r="532" ht="15.75" customHeight="1" s="23"/>
    <row r="533" ht="15.75" customHeight="1" s="23"/>
    <row r="534" ht="15.75" customHeight="1" s="23"/>
    <row r="535" ht="15.75" customHeight="1" s="23"/>
    <row r="536" ht="15.75" customHeight="1" s="23"/>
    <row r="537" ht="15.75" customHeight="1" s="23"/>
    <row r="538" ht="15.75" customHeight="1" s="23"/>
    <row r="539" ht="15.75" customHeight="1" s="23"/>
    <row r="540" ht="15.75" customHeight="1" s="23"/>
    <row r="541" ht="15.75" customHeight="1" s="23"/>
    <row r="542" ht="15.75" customHeight="1" s="23"/>
    <row r="543" ht="15.75" customHeight="1" s="23"/>
    <row r="544" ht="15.75" customHeight="1" s="23"/>
    <row r="545" ht="15.75" customHeight="1" s="23"/>
    <row r="546" ht="15.75" customHeight="1" s="23"/>
    <row r="547" ht="15.75" customHeight="1" s="23"/>
    <row r="548" ht="15.75" customHeight="1" s="23"/>
    <row r="549" ht="15.75" customHeight="1" s="23"/>
    <row r="550" ht="15.75" customHeight="1" s="23"/>
    <row r="551" ht="15.75" customHeight="1" s="23"/>
    <row r="552" ht="15.75" customHeight="1" s="23"/>
    <row r="553" ht="15.75" customHeight="1" s="23"/>
    <row r="554" ht="15.75" customHeight="1" s="23"/>
    <row r="555" ht="15.75" customHeight="1" s="23"/>
    <row r="556" ht="15.75" customHeight="1" s="23"/>
    <row r="557" ht="15.75" customHeight="1" s="23"/>
    <row r="558" ht="15.75" customHeight="1" s="23"/>
    <row r="559" ht="15.75" customHeight="1" s="23"/>
    <row r="560" ht="15.75" customHeight="1" s="23"/>
    <row r="561" ht="15.75" customHeight="1" s="23"/>
    <row r="562" ht="15.75" customHeight="1" s="23"/>
    <row r="563" ht="15.75" customHeight="1" s="23"/>
    <row r="564" ht="15.75" customHeight="1" s="23"/>
    <row r="565" ht="15.75" customHeight="1" s="23"/>
    <row r="566" ht="15.75" customHeight="1" s="23"/>
    <row r="567" ht="15.75" customHeight="1" s="23"/>
    <row r="568" ht="15.75" customHeight="1" s="23"/>
    <row r="569" ht="15.75" customHeight="1" s="23"/>
    <row r="570" ht="15.75" customHeight="1" s="23"/>
    <row r="571" ht="15.75" customHeight="1" s="23"/>
    <row r="572" ht="15.75" customHeight="1" s="23"/>
    <row r="573" ht="15.75" customHeight="1" s="23"/>
    <row r="574" ht="15.75" customHeight="1" s="23"/>
    <row r="575" ht="15.75" customHeight="1" s="23"/>
    <row r="576" ht="15.75" customHeight="1" s="23"/>
    <row r="577" ht="15.75" customHeight="1" s="23"/>
    <row r="578" ht="15.75" customHeight="1" s="23"/>
    <row r="579" ht="15.75" customHeight="1" s="23"/>
    <row r="580" ht="15.75" customHeight="1" s="23"/>
    <row r="581" ht="15.75" customHeight="1" s="23"/>
    <row r="582" ht="15.75" customHeight="1" s="23"/>
    <row r="583" ht="15.75" customHeight="1" s="23"/>
    <row r="584" ht="15.75" customHeight="1" s="23"/>
    <row r="585" ht="15.75" customHeight="1" s="23"/>
    <row r="586" ht="15.75" customHeight="1" s="23"/>
    <row r="587" ht="15.75" customHeight="1" s="23"/>
    <row r="588" ht="15.75" customHeight="1" s="23"/>
    <row r="589" ht="15.75" customHeight="1" s="23"/>
    <row r="590" ht="15.75" customHeight="1" s="23"/>
    <row r="591" ht="15.75" customHeight="1" s="23"/>
    <row r="592" ht="15.75" customHeight="1" s="23"/>
    <row r="593" ht="15.75" customHeight="1" s="23"/>
    <row r="594" ht="15.75" customHeight="1" s="23"/>
    <row r="595" ht="15.75" customHeight="1" s="23"/>
    <row r="596" ht="15.75" customHeight="1" s="23"/>
    <row r="597" ht="15.75" customHeight="1" s="23"/>
    <row r="598" ht="15.75" customHeight="1" s="23"/>
    <row r="599" ht="15.75" customHeight="1" s="23"/>
    <row r="600" ht="15.75" customHeight="1" s="23"/>
    <row r="601" ht="15.75" customHeight="1" s="23"/>
    <row r="602" ht="15.75" customHeight="1" s="23"/>
    <row r="603" ht="15.75" customHeight="1" s="23"/>
    <row r="604" ht="15.75" customHeight="1" s="23"/>
    <row r="605" ht="15.75" customHeight="1" s="23"/>
    <row r="606" ht="15.75" customHeight="1" s="23"/>
    <row r="607" ht="15.75" customHeight="1" s="23"/>
    <row r="608" ht="15.75" customHeight="1" s="23"/>
    <row r="609" ht="15.75" customHeight="1" s="23"/>
    <row r="610" ht="15.75" customHeight="1" s="23"/>
    <row r="611" ht="15.75" customHeight="1" s="23"/>
    <row r="612" ht="15.75" customHeight="1" s="23"/>
    <row r="613" ht="15.75" customHeight="1" s="23"/>
    <row r="614" ht="15.75" customHeight="1" s="23"/>
    <row r="615" ht="15.75" customHeight="1" s="23"/>
    <row r="616" ht="15.75" customHeight="1" s="23"/>
    <row r="617" ht="15.75" customHeight="1" s="23"/>
    <row r="618" ht="15.75" customHeight="1" s="23"/>
    <row r="619" ht="15.75" customHeight="1" s="23"/>
    <row r="620" ht="15.75" customHeight="1" s="23"/>
    <row r="621" ht="15.75" customHeight="1" s="23"/>
    <row r="622" ht="15.75" customHeight="1" s="23"/>
    <row r="623" ht="15.75" customHeight="1" s="23"/>
    <row r="624" ht="15.75" customHeight="1" s="23"/>
    <row r="625" ht="15.75" customHeight="1" s="23"/>
    <row r="626" ht="15.75" customHeight="1" s="23"/>
    <row r="627" ht="15.75" customHeight="1" s="23"/>
    <row r="628" ht="15.75" customHeight="1" s="23"/>
    <row r="629" ht="15.75" customHeight="1" s="23"/>
    <row r="630" ht="15.75" customHeight="1" s="23"/>
    <row r="631" ht="15.75" customHeight="1" s="23"/>
    <row r="632" ht="15.75" customHeight="1" s="23"/>
    <row r="633" ht="15.75" customHeight="1" s="23"/>
    <row r="634" ht="15.75" customHeight="1" s="23"/>
    <row r="635" ht="15.75" customHeight="1" s="23"/>
    <row r="636" ht="15.75" customHeight="1" s="23"/>
    <row r="637" ht="15.75" customHeight="1" s="23"/>
    <row r="638" ht="15.75" customHeight="1" s="23"/>
    <row r="639" ht="15.75" customHeight="1" s="23"/>
    <row r="640" ht="15.75" customHeight="1" s="23"/>
    <row r="641" ht="15.75" customHeight="1" s="23"/>
    <row r="642" ht="15.75" customHeight="1" s="23"/>
    <row r="643" ht="15.75" customHeight="1" s="23"/>
    <row r="644" ht="15.75" customHeight="1" s="23"/>
    <row r="645" ht="15.75" customHeight="1" s="23"/>
    <row r="646" ht="15.75" customHeight="1" s="23"/>
    <row r="647" ht="15.75" customHeight="1" s="23"/>
    <row r="648" ht="15.75" customHeight="1" s="23"/>
    <row r="649" ht="15.75" customHeight="1" s="23"/>
    <row r="650" ht="15.75" customHeight="1" s="23"/>
    <row r="651" ht="15.75" customHeight="1" s="23"/>
    <row r="652" ht="15.75" customHeight="1" s="23"/>
    <row r="653" ht="15.75" customHeight="1" s="23"/>
    <row r="654" ht="15.75" customHeight="1" s="23"/>
    <row r="655" ht="15.75" customHeight="1" s="23"/>
    <row r="656" ht="15.75" customHeight="1" s="23"/>
    <row r="657" ht="15.75" customHeight="1" s="23"/>
    <row r="658" ht="15.75" customHeight="1" s="23"/>
    <row r="659" ht="15.75" customHeight="1" s="23"/>
    <row r="660" ht="15.75" customHeight="1" s="23"/>
    <row r="661" ht="15.75" customHeight="1" s="23"/>
    <row r="662" ht="15.75" customHeight="1" s="23"/>
    <row r="663" ht="15.75" customHeight="1" s="23"/>
    <row r="664" ht="15.75" customHeight="1" s="23"/>
    <row r="665" ht="15.75" customHeight="1" s="23"/>
    <row r="666" ht="15.75" customHeight="1" s="23"/>
    <row r="667" ht="15.75" customHeight="1" s="23"/>
    <row r="668" ht="15.75" customHeight="1" s="23"/>
    <row r="669" ht="15.75" customHeight="1" s="23"/>
    <row r="670" ht="15.75" customHeight="1" s="23"/>
    <row r="671" ht="15.75" customHeight="1" s="23"/>
    <row r="672" ht="15.75" customHeight="1" s="23"/>
    <row r="673" ht="15.75" customHeight="1" s="23"/>
    <row r="674" ht="15.75" customHeight="1" s="23"/>
    <row r="675" ht="15.75" customHeight="1" s="23"/>
    <row r="676" ht="15.75" customHeight="1" s="23"/>
    <row r="677" ht="15.75" customHeight="1" s="23"/>
    <row r="678" ht="15.75" customHeight="1" s="23"/>
    <row r="679" ht="15.75" customHeight="1" s="23"/>
    <row r="680" ht="15.75" customHeight="1" s="23"/>
    <row r="681" ht="15.75" customHeight="1" s="23"/>
    <row r="682" ht="15.75" customHeight="1" s="23"/>
    <row r="683" ht="15.75" customHeight="1" s="23"/>
    <row r="684" ht="15.75" customHeight="1" s="23"/>
    <row r="685" ht="15.75" customHeight="1" s="23"/>
    <row r="686" ht="15.75" customHeight="1" s="23"/>
    <row r="687" ht="15.75" customHeight="1" s="23"/>
    <row r="688" ht="15.75" customHeight="1" s="23"/>
    <row r="689" ht="15.75" customHeight="1" s="23"/>
    <row r="690" ht="15.75" customHeight="1" s="23"/>
    <row r="691" ht="15.75" customHeight="1" s="23"/>
    <row r="692" ht="15.75" customHeight="1" s="23"/>
    <row r="693" ht="15.75" customHeight="1" s="23"/>
    <row r="694" ht="15.75" customHeight="1" s="23"/>
    <row r="695" ht="15.75" customHeight="1" s="23"/>
    <row r="696" ht="15.75" customHeight="1" s="23"/>
    <row r="697" ht="15.75" customHeight="1" s="23"/>
    <row r="698" ht="15.75" customHeight="1" s="23"/>
    <row r="699" ht="15.75" customHeight="1" s="23"/>
    <row r="700" ht="15.75" customHeight="1" s="23"/>
    <row r="701" ht="15.75" customHeight="1" s="23"/>
    <row r="702" ht="15.75" customHeight="1" s="23"/>
    <row r="703" ht="15.75" customHeight="1" s="23"/>
    <row r="704" ht="15.75" customHeight="1" s="23"/>
    <row r="705" ht="15.75" customHeight="1" s="23"/>
    <row r="706" ht="15.75" customHeight="1" s="23"/>
    <row r="707" ht="15.75" customHeight="1" s="23"/>
    <row r="708" ht="15.75" customHeight="1" s="23"/>
    <row r="709" ht="15.75" customHeight="1" s="23"/>
    <row r="710" ht="15.75" customHeight="1" s="23"/>
    <row r="711" ht="15.75" customHeight="1" s="23"/>
    <row r="712" ht="15.75" customHeight="1" s="23"/>
    <row r="713" ht="15.75" customHeight="1" s="23"/>
    <row r="714" ht="15.75" customHeight="1" s="23"/>
    <row r="715" ht="15.75" customHeight="1" s="23"/>
    <row r="716" ht="15.75" customHeight="1" s="23"/>
    <row r="717" ht="15.75" customHeight="1" s="23"/>
    <row r="718" ht="15.75" customHeight="1" s="23"/>
    <row r="719" ht="15.75" customHeight="1" s="23"/>
    <row r="720" ht="15.75" customHeight="1" s="23"/>
    <row r="721" ht="15.75" customHeight="1" s="23"/>
    <row r="722" ht="15.75" customHeight="1" s="23"/>
    <row r="723" ht="15.75" customHeight="1" s="23"/>
    <row r="724" ht="15.75" customHeight="1" s="23"/>
    <row r="725" ht="15.75" customHeight="1" s="23"/>
    <row r="726" ht="15.75" customHeight="1" s="23"/>
    <row r="727" ht="15.75" customHeight="1" s="23"/>
    <row r="728" ht="15.75" customHeight="1" s="23"/>
    <row r="729" ht="15.75" customHeight="1" s="23"/>
    <row r="730" ht="15.75" customHeight="1" s="23"/>
    <row r="731" ht="15.75" customHeight="1" s="23"/>
    <row r="732" ht="15.75" customHeight="1" s="23"/>
    <row r="733" ht="15.75" customHeight="1" s="23"/>
    <row r="734" ht="15.75" customHeight="1" s="23"/>
    <row r="735" ht="15.75" customHeight="1" s="23"/>
    <row r="736" ht="15.75" customHeight="1" s="23"/>
    <row r="737" ht="15.75" customHeight="1" s="23"/>
    <row r="738" ht="15.75" customHeight="1" s="23"/>
    <row r="739" ht="15.75" customHeight="1" s="23"/>
    <row r="740" ht="15.75" customHeight="1" s="23"/>
    <row r="741" ht="15.75" customHeight="1" s="23"/>
    <row r="742" ht="15.75" customHeight="1" s="23"/>
    <row r="743" ht="15.75" customHeight="1" s="23"/>
    <row r="744" ht="15.75" customHeight="1" s="23"/>
    <row r="745" ht="15.75" customHeight="1" s="23"/>
    <row r="746" ht="15.75" customHeight="1" s="23"/>
    <row r="747" ht="15.75" customHeight="1" s="23"/>
    <row r="748" ht="15.75" customHeight="1" s="23"/>
    <row r="749" ht="15.75" customHeight="1" s="23"/>
    <row r="750" ht="15.75" customHeight="1" s="23"/>
    <row r="751" ht="15.75" customHeight="1" s="23"/>
    <row r="752" ht="15.75" customHeight="1" s="23"/>
    <row r="753" ht="15.75" customHeight="1" s="23"/>
    <row r="754" ht="15.75" customHeight="1" s="23"/>
    <row r="755" ht="15.75" customHeight="1" s="23"/>
    <row r="756" ht="15.75" customHeight="1" s="23"/>
    <row r="757" ht="15.75" customHeight="1" s="23"/>
    <row r="758" ht="15.75" customHeight="1" s="23"/>
    <row r="759" ht="15.75" customHeight="1" s="23"/>
    <row r="760" ht="15.75" customHeight="1" s="23"/>
    <row r="761" ht="15.75" customHeight="1" s="23"/>
    <row r="762" ht="15.75" customHeight="1" s="23"/>
    <row r="763" ht="15.75" customHeight="1" s="23"/>
    <row r="764" ht="15.75" customHeight="1" s="23"/>
    <row r="765" ht="15.75" customHeight="1" s="23"/>
    <row r="766" ht="15.75" customHeight="1" s="23"/>
    <row r="767" ht="15.75" customHeight="1" s="23"/>
    <row r="768" ht="15.75" customHeight="1" s="23"/>
    <row r="769" ht="15.75" customHeight="1" s="23"/>
    <row r="770" ht="15.75" customHeight="1" s="23"/>
    <row r="771" ht="15.75" customHeight="1" s="23"/>
    <row r="772" ht="15.75" customHeight="1" s="23"/>
    <row r="773" ht="15.75" customHeight="1" s="23"/>
    <row r="774" ht="15.75" customHeight="1" s="23"/>
    <row r="775" ht="15.75" customHeight="1" s="23"/>
    <row r="776" ht="15.75" customHeight="1" s="23"/>
    <row r="777" ht="15.75" customHeight="1" s="23"/>
    <row r="778" ht="15.75" customHeight="1" s="23"/>
    <row r="779" ht="15.75" customHeight="1" s="23"/>
    <row r="780" ht="15.75" customHeight="1" s="23"/>
    <row r="781" ht="15.75" customHeight="1" s="23"/>
    <row r="782" ht="15.75" customHeight="1" s="23"/>
    <row r="783" ht="15.75" customHeight="1" s="23"/>
    <row r="784" ht="15.75" customHeight="1" s="23"/>
    <row r="785" ht="15.75" customHeight="1" s="23"/>
    <row r="786" ht="15.75" customHeight="1" s="23"/>
    <row r="787" ht="15.75" customHeight="1" s="23"/>
    <row r="788" ht="15.75" customHeight="1" s="23"/>
    <row r="789" ht="15.75" customHeight="1" s="23"/>
    <row r="790" ht="15.75" customHeight="1" s="23"/>
    <row r="791" ht="15.75" customHeight="1" s="23"/>
    <row r="792" ht="15.75" customHeight="1" s="23"/>
    <row r="793" ht="15.75" customHeight="1" s="23"/>
    <row r="794" ht="15.75" customHeight="1" s="23"/>
    <row r="795" ht="15.75" customHeight="1" s="23"/>
    <row r="796" ht="15.75" customHeight="1" s="23"/>
    <row r="797" ht="15.75" customHeight="1" s="23"/>
    <row r="798" ht="15.75" customHeight="1" s="23"/>
    <row r="799" ht="15.75" customHeight="1" s="23"/>
    <row r="800" ht="15.75" customHeight="1" s="23"/>
    <row r="801" ht="15.75" customHeight="1" s="23"/>
    <row r="802" ht="15.75" customHeight="1" s="23"/>
    <row r="803" ht="15.75" customHeight="1" s="23"/>
    <row r="804" ht="15.75" customHeight="1" s="23"/>
    <row r="805" ht="15.75" customHeight="1" s="23"/>
    <row r="806" ht="15.75" customHeight="1" s="23"/>
    <row r="807" ht="15.75" customHeight="1" s="23"/>
    <row r="808" ht="15.75" customHeight="1" s="23"/>
    <row r="809" ht="15.75" customHeight="1" s="23"/>
    <row r="810" ht="15.75" customHeight="1" s="23"/>
    <row r="811" ht="15.75" customHeight="1" s="23"/>
    <row r="812" ht="15.75" customHeight="1" s="23"/>
    <row r="813" ht="15.75" customHeight="1" s="23"/>
    <row r="814" ht="15.75" customHeight="1" s="23"/>
    <row r="815" ht="15.75" customHeight="1" s="23"/>
    <row r="816" ht="15.75" customHeight="1" s="23"/>
    <row r="817" ht="15.75" customHeight="1" s="23"/>
    <row r="818" ht="15.75" customHeight="1" s="23"/>
    <row r="819" ht="15.75" customHeight="1" s="23"/>
    <row r="820" ht="15.75" customHeight="1" s="23"/>
    <row r="821" ht="15.75" customHeight="1" s="23"/>
    <row r="822" ht="15.75" customHeight="1" s="23"/>
    <row r="823" ht="15.75" customHeight="1" s="23"/>
    <row r="824" ht="15.75" customHeight="1" s="23"/>
    <row r="825" ht="15.75" customHeight="1" s="23"/>
    <row r="826" ht="15.75" customHeight="1" s="23"/>
    <row r="827" ht="15.75" customHeight="1" s="23"/>
    <row r="828" ht="15.75" customHeight="1" s="23"/>
    <row r="829" ht="15.75" customHeight="1" s="23"/>
    <row r="830" ht="15.75" customHeight="1" s="23"/>
    <row r="831" ht="15.75" customHeight="1" s="23"/>
    <row r="832" ht="15.75" customHeight="1" s="23"/>
    <row r="833" ht="15.75" customHeight="1" s="23"/>
    <row r="834" ht="15.75" customHeight="1" s="23"/>
    <row r="835" ht="15.75" customHeight="1" s="23"/>
    <row r="836" ht="15.75" customHeight="1" s="23"/>
    <row r="837" ht="15.75" customHeight="1" s="23"/>
    <row r="838" ht="15.75" customHeight="1" s="23"/>
    <row r="839" ht="15.75" customHeight="1" s="23"/>
    <row r="840" ht="15.75" customHeight="1" s="23"/>
    <row r="841" ht="15.75" customHeight="1" s="23"/>
    <row r="842" ht="15.75" customHeight="1" s="23"/>
    <row r="843" ht="15.75" customHeight="1" s="23"/>
    <row r="844" ht="15.75" customHeight="1" s="23"/>
    <row r="845" ht="15.75" customHeight="1" s="23"/>
    <row r="846" ht="15.75" customHeight="1" s="23"/>
    <row r="847" ht="15.75" customHeight="1" s="23"/>
    <row r="848" ht="15.75" customHeight="1" s="23"/>
    <row r="849" ht="15.75" customHeight="1" s="23"/>
    <row r="850" ht="15.75" customHeight="1" s="23"/>
    <row r="851" ht="15.75" customHeight="1" s="23"/>
    <row r="852" ht="15.75" customHeight="1" s="23"/>
    <row r="853" ht="15.75" customHeight="1" s="23"/>
    <row r="854" ht="15.75" customHeight="1" s="23"/>
    <row r="855" ht="15.75" customHeight="1" s="23"/>
    <row r="856" ht="15.75" customHeight="1" s="23"/>
    <row r="857" ht="15.75" customHeight="1" s="23"/>
    <row r="858" ht="15.75" customHeight="1" s="23"/>
    <row r="859" ht="15.75" customHeight="1" s="23"/>
    <row r="860" ht="15.75" customHeight="1" s="23"/>
    <row r="861" ht="15.75" customHeight="1" s="23"/>
    <row r="862" ht="15.75" customHeight="1" s="23"/>
    <row r="863" ht="15.75" customHeight="1" s="23"/>
    <row r="864" ht="15.75" customHeight="1" s="23"/>
    <row r="865" ht="15.75" customHeight="1" s="23"/>
    <row r="866" ht="15.75" customHeight="1" s="23"/>
    <row r="867" ht="15.75" customHeight="1" s="23"/>
    <row r="868" ht="15.75" customHeight="1" s="23"/>
    <row r="869" ht="15.75" customHeight="1" s="23"/>
    <row r="870" ht="15.75" customHeight="1" s="23"/>
    <row r="871" ht="15.75" customHeight="1" s="23"/>
    <row r="872" ht="15.75" customHeight="1" s="23"/>
    <row r="873" ht="15.75" customHeight="1" s="23"/>
    <row r="874" ht="15.75" customHeight="1" s="23"/>
    <row r="875" ht="15.75" customHeight="1" s="23"/>
    <row r="876" ht="15.75" customHeight="1" s="23"/>
    <row r="877" ht="15.75" customHeight="1" s="23"/>
    <row r="878" ht="15.75" customHeight="1" s="23"/>
    <row r="879" ht="15.75" customHeight="1" s="23"/>
    <row r="880" ht="15.75" customHeight="1" s="23"/>
    <row r="881" ht="15.75" customHeight="1" s="23"/>
    <row r="882" ht="15.75" customHeight="1" s="23"/>
    <row r="883" ht="15.75" customHeight="1" s="23"/>
    <row r="884" ht="15.75" customHeight="1" s="23"/>
    <row r="885" ht="15.75" customHeight="1" s="23"/>
    <row r="886" ht="15.75" customHeight="1" s="23"/>
    <row r="887" ht="15.75" customHeight="1" s="23"/>
    <row r="888" ht="15.75" customHeight="1" s="23"/>
    <row r="889" ht="15.75" customHeight="1" s="23"/>
    <row r="890" ht="15.75" customHeight="1" s="23"/>
    <row r="891" ht="15.75" customHeight="1" s="23"/>
    <row r="892" ht="15.75" customHeight="1" s="23"/>
    <row r="893" ht="15.75" customHeight="1" s="23"/>
    <row r="894" ht="15.75" customHeight="1" s="23"/>
    <row r="895" ht="15.75" customHeight="1" s="23"/>
    <row r="896" ht="15.75" customHeight="1" s="23"/>
    <row r="897" ht="15.75" customHeight="1" s="23"/>
    <row r="898" ht="15.75" customHeight="1" s="23"/>
    <row r="899" ht="15.75" customHeight="1" s="23"/>
    <row r="900" ht="15.75" customHeight="1" s="23"/>
    <row r="901" ht="15.75" customHeight="1" s="23"/>
    <row r="902" ht="15.75" customHeight="1" s="23"/>
    <row r="903" ht="15.75" customHeight="1" s="23"/>
    <row r="904" ht="15.75" customHeight="1" s="23"/>
    <row r="905" ht="15.75" customHeight="1" s="23"/>
    <row r="906" ht="15.75" customHeight="1" s="23"/>
    <row r="907" ht="15.75" customHeight="1" s="23"/>
    <row r="908" ht="15.75" customHeight="1" s="23"/>
    <row r="909" ht="15.75" customHeight="1" s="23"/>
    <row r="910" ht="15.75" customHeight="1" s="23"/>
    <row r="911" ht="15.75" customHeight="1" s="23"/>
    <row r="912" ht="15.75" customHeight="1" s="23"/>
    <row r="913" ht="15.75" customHeight="1" s="23"/>
    <row r="914" ht="15.75" customHeight="1" s="23"/>
    <row r="915" ht="15.75" customHeight="1" s="23"/>
    <row r="916" ht="15.75" customHeight="1" s="23"/>
    <row r="917" ht="15.75" customHeight="1" s="23"/>
    <row r="918" ht="15.75" customHeight="1" s="23"/>
    <row r="919" ht="15.75" customHeight="1" s="23"/>
    <row r="920" ht="15.75" customHeight="1" s="23"/>
    <row r="921" ht="15.75" customHeight="1" s="23"/>
    <row r="922" ht="15.75" customHeight="1" s="23"/>
    <row r="923" ht="15.75" customHeight="1" s="23"/>
    <row r="924" ht="15.75" customHeight="1" s="23"/>
    <row r="925" ht="15.75" customHeight="1" s="23"/>
    <row r="926" ht="15.75" customHeight="1" s="23"/>
    <row r="927" ht="15.75" customHeight="1" s="23"/>
    <row r="928" ht="15.75" customHeight="1" s="23"/>
    <row r="929" ht="15.75" customHeight="1" s="23"/>
    <row r="930" ht="15.75" customHeight="1" s="23"/>
    <row r="931" ht="15.75" customHeight="1" s="23"/>
    <row r="932" ht="15.75" customHeight="1" s="23"/>
    <row r="933" ht="15.75" customHeight="1" s="23"/>
    <row r="934" ht="15.75" customHeight="1" s="23"/>
    <row r="935" ht="15.75" customHeight="1" s="23"/>
    <row r="936" ht="15.75" customHeight="1" s="23"/>
    <row r="937" ht="15.75" customHeight="1" s="23"/>
    <row r="938" ht="15.75" customHeight="1" s="23"/>
    <row r="939" ht="15.75" customHeight="1" s="23"/>
    <row r="940" ht="15.75" customHeight="1" s="23"/>
    <row r="941" ht="15.75" customHeight="1" s="23"/>
    <row r="942" ht="15.75" customHeight="1" s="23"/>
    <row r="943" ht="15.75" customHeight="1" s="23"/>
    <row r="944" ht="15.75" customHeight="1" s="23"/>
    <row r="945" ht="15.75" customHeight="1" s="23"/>
    <row r="946" ht="15.75" customHeight="1" s="23"/>
    <row r="947" ht="15.75" customHeight="1" s="23"/>
    <row r="948" ht="15.75" customHeight="1" s="23"/>
    <row r="949" ht="15.75" customHeight="1" s="23"/>
    <row r="950" ht="15.75" customHeight="1" s="23"/>
    <row r="951" ht="15.75" customHeight="1" s="23"/>
    <row r="952" ht="15.75" customHeight="1" s="23"/>
    <row r="953" ht="15.75" customHeight="1" s="23"/>
    <row r="954" ht="15.75" customHeight="1" s="23"/>
    <row r="955" ht="15.75" customHeight="1" s="23"/>
    <row r="956" ht="15.75" customHeight="1" s="23"/>
    <row r="957" ht="15.75" customHeight="1" s="23"/>
    <row r="958" ht="15.75" customHeight="1" s="23"/>
    <row r="959" ht="15.75" customHeight="1" s="23"/>
    <row r="960" ht="15.75" customHeight="1" s="23"/>
    <row r="961" ht="15.75" customHeight="1" s="23"/>
    <row r="962" ht="15.75" customHeight="1" s="23"/>
    <row r="963" ht="15.75" customHeight="1" s="23"/>
    <row r="964" ht="15.75" customHeight="1" s="23"/>
    <row r="965" ht="15.75" customHeight="1" s="23"/>
    <row r="966" ht="15.75" customHeight="1" s="23"/>
    <row r="967" ht="15.75" customHeight="1" s="23"/>
    <row r="968" ht="15.75" customHeight="1" s="23"/>
    <row r="969" ht="15.75" customHeight="1" s="23"/>
    <row r="970" ht="15.75" customHeight="1" s="23"/>
    <row r="971" ht="15.75" customHeight="1" s="23"/>
    <row r="972" ht="15.75" customHeight="1" s="23"/>
    <row r="973" ht="15.75" customHeight="1" s="23"/>
    <row r="974" ht="15.75" customHeight="1" s="23"/>
    <row r="975" ht="15.75" customHeight="1" s="23"/>
    <row r="976" ht="15.75" customHeight="1" s="23"/>
    <row r="977" ht="15.75" customHeight="1" s="23"/>
    <row r="978" ht="15.75" customHeight="1" s="23"/>
    <row r="979" ht="15.75" customHeight="1" s="23"/>
    <row r="980" ht="15.75" customHeight="1" s="23"/>
    <row r="981" ht="15.75" customHeight="1" s="23"/>
    <row r="982" ht="15.75" customHeight="1" s="23"/>
    <row r="983" ht="15.75" customHeight="1" s="23"/>
    <row r="984" ht="15.75" customHeight="1" s="23"/>
    <row r="985" ht="15.75" customHeight="1" s="23"/>
    <row r="986" ht="15.75" customHeight="1" s="23"/>
    <row r="987" ht="15.75" customHeight="1" s="23"/>
    <row r="988" ht="15.75" customHeight="1" s="23"/>
    <row r="989" ht="15.75" customHeight="1" s="23"/>
    <row r="990" ht="15.75" customHeight="1" s="23"/>
    <row r="991" ht="15.75" customHeight="1" s="23"/>
    <row r="992" ht="15.75" customHeight="1" s="23"/>
    <row r="993" ht="15.75" customHeight="1" s="23"/>
    <row r="994" ht="15.75" customHeight="1" s="23"/>
    <row r="995" ht="15.75" customHeight="1" s="23"/>
    <row r="996" ht="15.75" customHeight="1" s="23"/>
    <row r="997" ht="15.75" customHeight="1" s="23"/>
    <row r="998" ht="15.75" customHeight="1" s="23"/>
    <row r="999" ht="15.75" customHeight="1" s="23"/>
    <row r="1000" ht="15.75" customHeight="1" s="23"/>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ColWidth="14.43" defaultRowHeight="15" customHeight="1"/>
  <cols>
    <col width="46" customWidth="1" style="23" min="1" max="1"/>
    <col width="12" customWidth="1" style="23" min="2" max="2"/>
    <col width="8.859999999999999" customWidth="1" style="23" min="3" max="26"/>
  </cols>
  <sheetData>
    <row r="1" ht="16.5" customHeight="1" s="23">
      <c r="A1" s="6" t="inlineStr">
        <is>
          <t>150-Question Benchmark v3 — Four-Book Corpus</t>
        </is>
      </c>
    </row>
    <row r="2">
      <c r="A2" s="8" t="inlineStr">
        <is>
          <t>Corpus: Intro to Python Programming + Principles of Data Science (OpenStax), Open Data Structures (Morin, CC BY),</t>
        </is>
      </c>
    </row>
    <row r="3">
      <c r="A3" s="8" t="inlineStr">
        <is>
          <t>Handbook of Software Engineering Methods (Letaw, CC BY-NC). Q101–Q150 added and Q067/Q069 rewritten 21-Jul-2026.</t>
        </is>
      </c>
    </row>
    <row r="5">
      <c r="A5" s="1" t="inlineStr">
        <is>
          <t>Composition</t>
        </is>
      </c>
    </row>
    <row r="6">
      <c r="A6" s="2" t="inlineStr">
        <is>
          <t>In-scope direct</t>
        </is>
      </c>
      <c r="B6" s="2">
        <f>COUNTIF(Questions!$B$2:$B$151,"In-scope direct")</f>
        <v/>
      </c>
    </row>
    <row r="7">
      <c r="A7" s="2" t="inlineStr">
        <is>
          <t>In-scope hard</t>
        </is>
      </c>
      <c r="B7" s="2">
        <f>COUNTIF(Questions!$B$2:$B$151,"In-scope hard")</f>
        <v/>
      </c>
    </row>
    <row r="8">
      <c r="A8" s="2" t="inlineStr">
        <is>
          <t>Tangential</t>
        </is>
      </c>
      <c r="B8" s="2">
        <f>COUNTIF(Questions!$B$2:$B$151,"Tangential")</f>
        <v/>
      </c>
    </row>
    <row r="9">
      <c r="A9" s="2" t="inlineStr">
        <is>
          <t>Out-of-scope</t>
        </is>
      </c>
      <c r="B9" s="2">
        <f>COUNTIF(Questions!$B$2:$B$151,"Out-of-scope")</f>
        <v/>
      </c>
    </row>
    <row r="10">
      <c r="A10" s="1" t="inlineStr">
        <is>
          <t>Total</t>
        </is>
      </c>
      <c r="B10" s="1">
        <f>COUNTA(Questions!$A$2:$A$151)</f>
        <v/>
      </c>
    </row>
    <row r="12">
      <c r="A12" s="1" t="inlineStr">
        <is>
          <t>Verification status</t>
        </is>
      </c>
    </row>
    <row r="13">
      <c r="A13" s="2" t="inlineStr">
        <is>
          <t>Verified absent (machine + adjudicated)</t>
        </is>
      </c>
      <c r="B13" s="2">
        <f>COUNTIF(Questions!$G$2:$G$151,"Verified absent")</f>
        <v/>
      </c>
    </row>
    <row r="14">
      <c r="A14" s="2" t="inlineStr">
        <is>
          <t>Needs human check (in-scope)</t>
        </is>
      </c>
      <c r="B14" s="2">
        <f>COUNTIF(Questions!$G$2:$G$151,"Needs human check")</f>
        <v/>
      </c>
    </row>
    <row r="15">
      <c r="A15" s="2" t="inlineStr">
        <is>
          <t>Verified in corpus</t>
        </is>
      </c>
      <c r="B15" s="2">
        <f>COUNTIF(Questions!$G$2:$G$151,"Verified in corpus")</f>
        <v/>
      </c>
    </row>
    <row r="16">
      <c r="A16" s="2" t="inlineStr">
        <is>
          <t>Rejected - rewrite</t>
        </is>
      </c>
      <c r="B16" s="2">
        <f>COUNTIF(Questions!$G$2:$G$151,"Rejected - rewrite")</f>
        <v/>
      </c>
    </row>
    <row r="18">
      <c r="A18" s="1" t="inlineStr">
        <is>
          <t>Human progress</t>
        </is>
      </c>
    </row>
    <row r="19">
      <c r="A19" s="2" t="inlineStr">
        <is>
          <t>Dual-labelled</t>
        </is>
      </c>
      <c r="B19" s="2">
        <f>COUNTIF(Questions!$K$2:$K$151,"Agree")+COUNTIF(Questions!$K$2:$K$151,"DISAGREE")</f>
        <v/>
      </c>
    </row>
    <row r="20">
      <c r="A20" s="2" t="inlineStr">
        <is>
          <t>Inter-annotator agreement</t>
        </is>
      </c>
      <c r="B20" s="17">
        <f>IF(B19=0,"",COUNTIF(Questions!$K$2:$K$151,"Agree")/B19)</f>
        <v/>
      </c>
    </row>
    <row r="21" ht="15.75" customHeight="1" s="23"/>
    <row r="22" ht="15.75" customHeight="1" s="23"/>
    <row r="23" ht="15.75" customHeight="1" s="23">
      <c r="A23" s="1" t="inlineStr">
        <is>
          <t>Notes</t>
        </is>
      </c>
    </row>
    <row r="24" ht="15.75" customHeight="1" s="23">
      <c r="A24" s="18" t="inlineStr">
        <is>
          <t>IMPORTANT: this benchmark targets the FOUR-book corpus. Results are not comparable with anything run on the old two-book index.</t>
        </is>
      </c>
    </row>
    <row r="25" ht="15.75" customHeight="1" s="23">
      <c r="A25" s="18" t="inlineStr">
        <is>
          <t>Rebuild the FAISS index from the expanded Dataset folder before any evaluation run (same config: bge-base-en-v1.5, 1000/200).</t>
        </is>
      </c>
    </row>
    <row r="26" ht="15.75" customHeight="1" s="23">
      <c r="A26" s="18" t="n"/>
    </row>
    <row r="27" ht="15.75" customHeight="1" s="23">
      <c r="A27" s="18" t="inlineStr">
        <is>
          <t>DONE (machine + Claude adjudication): all 60 tangential/OOS rows are 'Verified absent' — reasoning in Notes; spot-check advised.</t>
        </is>
      </c>
    </row>
    <row r="28" ht="15.75" customHeight="1" s="23">
      <c r="A28" s="18" t="inlineStr">
        <is>
          <t>TODO (human): 90 'Needs human check' in-scope rows — open cited pages, confirm the text answers the question, set status.</t>
        </is>
      </c>
    </row>
    <row r="29" ht="15.75" customHeight="1" s="23">
      <c r="A29" s="18" t="inlineStr">
        <is>
          <t>TODO (two humans): independent Annotator 1/2 labels; adjudicate DISAGREE rows; record Final label. Then FREEZE (git tag/hash).</t>
        </is>
      </c>
    </row>
    <row r="30" ht="15.75" customHeight="1" s="23">
      <c r="A30" s="18" t="n"/>
    </row>
    <row r="31" ht="15.75" customHeight="1" s="23">
      <c r="A31" s="18" t="inlineStr">
        <is>
          <t>Corpus-change history: Q067 (red-black trees) and Q069 (Fibonacci-heap decrease-key) were REJECTED because Open Data Structures</t>
        </is>
      </c>
    </row>
    <row r="32" ht="15.75" customHeight="1" s="23">
      <c r="A32" s="18" t="inlineStr">
        <is>
          <t>teaches both (ODS Ch.9; ODS §10.3 states the decrease-key answer verbatim) — rewritten to consistent hashing and splay trees.</t>
        </is>
      </c>
    </row>
    <row r="33" ht="15.75" customHeight="1" s="23">
      <c r="A33" s="18" t="inlineStr">
        <is>
          <t>Q068/Q095/Q097 were re-adjudicated for the new corpus (see their Notes).</t>
        </is>
      </c>
    </row>
    <row r="34" ht="15.75" customHeight="1" s="23">
      <c r="A34" s="18" t="n"/>
    </row>
    <row r="35" ht="15.75" customHeight="1" s="23">
      <c r="A35" s="18" t="inlineStr">
        <is>
          <t>Paper note: with the two added books, Section IV-A's claimed coverage ('data structures and algorithms', 'software engineering</t>
        </is>
      </c>
    </row>
    <row r="36" ht="15.75" customHeight="1" s="23">
      <c r="A36" s="18" t="inlineStr">
        <is>
          <t>concepts') is now genuinely supported — but cite all four books and their licenses (CC BY / CC BY-NC) in the Dataset section.</t>
        </is>
      </c>
    </row>
    <row r="37" ht="15.75" customHeight="1" s="23">
      <c r="A37" s="18" t="n"/>
    </row>
    <row r="38" ht="15.75" customHeight="1" s="23">
      <c r="A38" s="18" t="inlineStr">
        <is>
          <t>Disclosure sentence: 'Benchmark questions were drafted with LLM assistance (Claude, Anthropic — a model family distinct from the</t>
        </is>
      </c>
    </row>
    <row r="39" ht="15.75" customHeight="1" s="23">
      <c r="A39" s="18" t="inlineStr">
        <is>
          <t>Gemma and Gemini systems under evaluation), lexically verified against the indexed corpus with LLM adjudication of ambiguous</t>
        </is>
      </c>
    </row>
    <row r="40" ht="15.75" customHeight="1" s="23">
      <c r="A40" s="18" t="inlineStr">
        <is>
          <t>cases, independently labelled by two annotators, and adjudicated before evaluation. The benchmark was frozen prior to system runs.'</t>
        </is>
      </c>
    </row>
    <row r="41" ht="15.75" customHeight="1" s="23"/>
    <row r="42" ht="15.75" customHeight="1" s="23">
      <c r="A42" s="19" t="inlineStr">
        <is>
          <t>UPDATE 21-Jul-2026 (evening): all 90 in-scope rows verified by Claude against cited book pages. 82 verified as-is;</t>
        </is>
      </c>
    </row>
    <row r="43" ht="15.75" customHeight="1" s="23">
      <c r="A43" s="19" t="inlineStr">
        <is>
          <t>8 rewritten (Q018, Q020, Q022, Q037, Q039, Q042, Q043, Q045) where the original topic was only mentioned, not taught —</t>
        </is>
      </c>
    </row>
    <row r="44" ht="15.75" customHeight="1" s="23">
      <c r="A44" s="19" t="inlineStr">
        <is>
          <t>each rewrite verified against an explicit section. Remaining human work: spot-check sample + independent dual labelling.</t>
        </is>
      </c>
    </row>
    <row r="45" ht="15.75" customHeight="1" s="23"/>
    <row r="46" ht="15.75" customHeight="1" s="23"/>
    <row r="47" ht="15.75" customHeight="1" s="23"/>
    <row r="48" ht="15.75" customHeight="1" s="23"/>
    <row r="49" ht="15.75" customHeight="1" s="23"/>
    <row r="50" ht="15.75" customHeight="1" s="23"/>
    <row r="51" ht="15.75" customHeight="1" s="23"/>
    <row r="52" ht="15.75" customHeight="1" s="23"/>
    <row r="53" ht="15.75" customHeight="1" s="23"/>
    <row r="54" ht="15.75" customHeight="1" s="23"/>
    <row r="55" ht="15.75" customHeight="1" s="23"/>
    <row r="56" ht="15.75" customHeight="1" s="23"/>
    <row r="57" ht="15.75" customHeight="1" s="23"/>
    <row r="58" ht="15.75" customHeight="1" s="23"/>
    <row r="59" ht="15.75" customHeight="1" s="23"/>
    <row r="60" ht="15.75" customHeight="1" s="23"/>
    <row r="61" ht="15.75" customHeight="1" s="23"/>
    <row r="62" ht="15.75" customHeight="1" s="23"/>
    <row r="63" ht="15.75" customHeight="1" s="23"/>
    <row r="64" ht="15.75" customHeight="1" s="23"/>
    <row r="65" ht="15.75" customHeight="1" s="23"/>
    <row r="66" ht="15.75" customHeight="1" s="23"/>
    <row r="67" ht="15.75" customHeight="1" s="23"/>
    <row r="68" ht="15.75" customHeight="1" s="23"/>
    <row r="69" ht="15.75" customHeight="1" s="23"/>
    <row r="70" ht="15.75" customHeight="1" s="23"/>
    <row r="71" ht="15.75" customHeight="1" s="23"/>
    <row r="72" ht="15.75" customHeight="1" s="23"/>
    <row r="73" ht="15.75" customHeight="1" s="23"/>
    <row r="74" ht="15.75" customHeight="1" s="23"/>
    <row r="75" ht="15.75" customHeight="1" s="23"/>
    <row r="76" ht="15.75" customHeight="1" s="23"/>
    <row r="77" ht="15.75" customHeight="1" s="23"/>
    <row r="78" ht="15.75" customHeight="1" s="23"/>
    <row r="79" ht="15.75" customHeight="1" s="23"/>
    <row r="80" ht="15.75" customHeight="1" s="23"/>
    <row r="81" ht="15.75" customHeight="1" s="23"/>
    <row r="82" ht="15.75" customHeight="1" s="23"/>
    <row r="83" ht="15.75" customHeight="1" s="23"/>
    <row r="84" ht="15.75" customHeight="1" s="23"/>
    <row r="85" ht="15.75" customHeight="1" s="23"/>
    <row r="86" ht="15.75" customHeight="1" s="23"/>
    <row r="87" ht="15.75" customHeight="1" s="23"/>
    <row r="88" ht="15.75" customHeight="1" s="23"/>
    <row r="89" ht="15.75" customHeight="1" s="23"/>
    <row r="90" ht="15.75" customHeight="1" s="23"/>
    <row r="91" ht="15.75" customHeight="1" s="23"/>
    <row r="92" ht="15.75" customHeight="1" s="23"/>
    <row r="93" ht="15.75" customHeight="1" s="23"/>
    <row r="94" ht="15.75" customHeight="1" s="23"/>
    <row r="95" ht="15.75" customHeight="1" s="23"/>
    <row r="96" ht="15.75" customHeight="1" s="23"/>
    <row r="97" ht="15.75" customHeight="1" s="23"/>
    <row r="98" ht="15.75" customHeight="1" s="23"/>
    <row r="99" ht="15.75" customHeight="1" s="23"/>
    <row r="100" ht="15.75" customHeight="1" s="23"/>
    <row r="101" ht="15.75" customHeight="1" s="23"/>
    <row r="102" ht="15.75" customHeight="1" s="23"/>
    <row r="103" ht="15.75" customHeight="1" s="23"/>
    <row r="104" ht="15.75" customHeight="1" s="23"/>
    <row r="105" ht="15.75" customHeight="1" s="23"/>
    <row r="106" ht="15.75" customHeight="1" s="23"/>
    <row r="107" ht="15.75" customHeight="1" s="23"/>
    <row r="108" ht="15.75" customHeight="1" s="23"/>
    <row r="109" ht="15.75" customHeight="1" s="23"/>
    <row r="110" ht="15.75" customHeight="1" s="23"/>
    <row r="111" ht="15.75" customHeight="1" s="23"/>
    <row r="112" ht="15.75" customHeight="1" s="23"/>
    <row r="113" ht="15.75" customHeight="1" s="23"/>
    <row r="114" ht="15.75" customHeight="1" s="23"/>
    <row r="115" ht="15.75" customHeight="1" s="23"/>
    <row r="116" ht="15.75" customHeight="1" s="23"/>
    <row r="117" ht="15.75" customHeight="1" s="23"/>
    <row r="118" ht="15.75" customHeight="1" s="23"/>
    <row r="119" ht="15.75" customHeight="1" s="23"/>
    <row r="120" ht="15.75" customHeight="1" s="23"/>
    <row r="121" ht="15.75" customHeight="1" s="23"/>
    <row r="122" ht="15.75" customHeight="1" s="23"/>
    <row r="123" ht="15.75" customHeight="1" s="23"/>
    <row r="124" ht="15.75" customHeight="1" s="23"/>
    <row r="125" ht="15.75" customHeight="1" s="23"/>
    <row r="126" ht="15.75" customHeight="1" s="23"/>
    <row r="127" ht="15.75" customHeight="1" s="23"/>
    <row r="128" ht="15.75" customHeight="1" s="23"/>
    <row r="129" ht="15.75" customHeight="1" s="23"/>
    <row r="130" ht="15.75" customHeight="1" s="23"/>
    <row r="131" ht="15.75" customHeight="1" s="23"/>
    <row r="132" ht="15.75" customHeight="1" s="23"/>
    <row r="133" ht="15.75" customHeight="1" s="23"/>
    <row r="134" ht="15.75" customHeight="1" s="23"/>
    <row r="135" ht="15.75" customHeight="1" s="23"/>
    <row r="136" ht="15.75" customHeight="1" s="23"/>
    <row r="137" ht="15.75" customHeight="1" s="23"/>
    <row r="138" ht="15.75" customHeight="1" s="23"/>
    <row r="139" ht="15.75" customHeight="1" s="23"/>
    <row r="140" ht="15.75" customHeight="1" s="23"/>
    <row r="141" ht="15.75" customHeight="1" s="23"/>
    <row r="142" ht="15.75" customHeight="1" s="23"/>
    <row r="143" ht="15.75" customHeight="1" s="23"/>
    <row r="144" ht="15.75" customHeight="1" s="23"/>
    <row r="145" ht="15.75" customHeight="1" s="23"/>
    <row r="146" ht="15.75" customHeight="1" s="23"/>
    <row r="147" ht="15.75" customHeight="1" s="23"/>
    <row r="148" ht="15.75" customHeight="1" s="23"/>
    <row r="149" ht="15.75" customHeight="1" s="23"/>
    <row r="150" ht="15.75" customHeight="1" s="23"/>
    <row r="151" ht="15.75" customHeight="1" s="23"/>
    <row r="152" ht="15.75" customHeight="1" s="23"/>
    <row r="153" ht="15.75" customHeight="1" s="23"/>
    <row r="154" ht="15.75" customHeight="1" s="23"/>
    <row r="155" ht="15.75" customHeight="1" s="23"/>
    <row r="156" ht="15.75" customHeight="1" s="23"/>
    <row r="157" ht="15.75" customHeight="1" s="23"/>
    <row r="158" ht="15.75" customHeight="1" s="23"/>
    <row r="159" ht="15.75" customHeight="1" s="23"/>
    <row r="160" ht="15.75" customHeight="1" s="23"/>
    <row r="161" ht="15.75" customHeight="1" s="23"/>
    <row r="162" ht="15.75" customHeight="1" s="23"/>
    <row r="163" ht="15.75" customHeight="1" s="23"/>
    <row r="164" ht="15.75" customHeight="1" s="23"/>
    <row r="165" ht="15.75" customHeight="1" s="23"/>
    <row r="166" ht="15.75" customHeight="1" s="23"/>
    <row r="167" ht="15.75" customHeight="1" s="23"/>
    <row r="168" ht="15.75" customHeight="1" s="23"/>
    <row r="169" ht="15.75" customHeight="1" s="23"/>
    <row r="170" ht="15.75" customHeight="1" s="23"/>
    <row r="171" ht="15.75" customHeight="1" s="23"/>
    <row r="172" ht="15.75" customHeight="1" s="23"/>
    <row r="173" ht="15.75" customHeight="1" s="23"/>
    <row r="174" ht="15.75" customHeight="1" s="23"/>
    <row r="175" ht="15.75" customHeight="1" s="23"/>
    <row r="176" ht="15.75" customHeight="1" s="23"/>
    <row r="177" ht="15.75" customHeight="1" s="23"/>
    <row r="178" ht="15.75" customHeight="1" s="23"/>
    <row r="179" ht="15.75" customHeight="1" s="23"/>
    <row r="180" ht="15.75" customHeight="1" s="23"/>
    <row r="181" ht="15.75" customHeight="1" s="23"/>
    <row r="182" ht="15.75" customHeight="1" s="23"/>
    <row r="183" ht="15.75" customHeight="1" s="23"/>
    <row r="184" ht="15.75" customHeight="1" s="23"/>
    <row r="185" ht="15.75" customHeight="1" s="23"/>
    <row r="186" ht="15.75" customHeight="1" s="23"/>
    <row r="187" ht="15.75" customHeight="1" s="23"/>
    <row r="188" ht="15.75" customHeight="1" s="23"/>
    <row r="189" ht="15.75" customHeight="1" s="23"/>
    <row r="190" ht="15.75" customHeight="1" s="23"/>
    <row r="191" ht="15.75" customHeight="1" s="23"/>
    <row r="192" ht="15.75" customHeight="1" s="23"/>
    <row r="193" ht="15.75" customHeight="1" s="23"/>
    <row r="194" ht="15.75" customHeight="1" s="23"/>
    <row r="195" ht="15.75" customHeight="1" s="23"/>
    <row r="196" ht="15.75" customHeight="1" s="23"/>
    <row r="197" ht="15.75" customHeight="1" s="23"/>
    <row r="198" ht="15.75" customHeight="1" s="23"/>
    <row r="199" ht="15.75" customHeight="1" s="23"/>
    <row r="200" ht="15.75" customHeight="1" s="23"/>
    <row r="201" ht="15.75" customHeight="1" s="23"/>
    <row r="202" ht="15.75" customHeight="1" s="23"/>
    <row r="203" ht="15.75" customHeight="1" s="23"/>
    <row r="204" ht="15.75" customHeight="1" s="23"/>
    <row r="205" ht="15.75" customHeight="1" s="23"/>
    <row r="206" ht="15.75" customHeight="1" s="23"/>
    <row r="207" ht="15.75" customHeight="1" s="23"/>
    <row r="208" ht="15.75" customHeight="1" s="23"/>
    <row r="209" ht="15.75" customHeight="1" s="23"/>
    <row r="210" ht="15.75" customHeight="1" s="23"/>
    <row r="211" ht="15.75" customHeight="1" s="23"/>
    <row r="212" ht="15.75" customHeight="1" s="23"/>
    <row r="213" ht="15.75" customHeight="1" s="23"/>
    <row r="214" ht="15.75" customHeight="1" s="23"/>
    <row r="215" ht="15.75" customHeight="1" s="23"/>
    <row r="216" ht="15.75" customHeight="1" s="23"/>
    <row r="217" ht="15.75" customHeight="1" s="23"/>
    <row r="218" ht="15.75" customHeight="1" s="23"/>
    <row r="219" ht="15.75" customHeight="1" s="23"/>
    <row r="220" ht="15.75" customHeight="1" s="23"/>
    <row r="221" ht="15.75" customHeight="1" s="23"/>
    <row r="222" ht="15.75" customHeight="1" s="23"/>
    <row r="223" ht="15.75" customHeight="1" s="23"/>
    <row r="224" ht="15.75" customHeight="1" s="23"/>
    <row r="225" ht="15.75" customHeight="1" s="23"/>
    <row r="226" ht="15.75" customHeight="1" s="23"/>
    <row r="227" ht="15.75" customHeight="1" s="23"/>
    <row r="228" ht="15.75" customHeight="1" s="23"/>
    <row r="229" ht="15.75" customHeight="1" s="23"/>
    <row r="230" ht="15.75" customHeight="1" s="23"/>
    <row r="231" ht="15.75" customHeight="1" s="23"/>
    <row r="232" ht="15.75" customHeight="1" s="23"/>
    <row r="233" ht="15.75" customHeight="1" s="23"/>
    <row r="234" ht="15.75" customHeight="1" s="23"/>
    <row r="235" ht="15.75" customHeight="1" s="23"/>
    <row r="236" ht="15.75" customHeight="1" s="23"/>
    <row r="237" ht="15.75" customHeight="1" s="23"/>
    <row r="238" ht="15.75" customHeight="1" s="23"/>
    <row r="239" ht="15.75" customHeight="1" s="23"/>
    <row r="240" ht="15.75" customHeight="1" s="23"/>
    <row r="241" ht="15.75" customHeight="1" s="23"/>
    <row r="242" ht="15.75" customHeight="1" s="23"/>
    <row r="243" ht="15.75" customHeight="1" s="23"/>
    <row r="244" ht="15.75" customHeight="1" s="23"/>
    <row r="245" ht="15.75" customHeight="1" s="23"/>
    <row r="246" ht="15.75" customHeight="1" s="23"/>
    <row r="247" ht="15.75" customHeight="1" s="23"/>
    <row r="248" ht="15.75" customHeight="1" s="23"/>
    <row r="249" ht="15.75" customHeight="1" s="23"/>
    <row r="250" ht="15.75" customHeight="1" s="23"/>
    <row r="251" ht="15.75" customHeight="1" s="23"/>
    <row r="252" ht="15.75" customHeight="1" s="23"/>
    <row r="253" ht="15.75" customHeight="1" s="23"/>
    <row r="254" ht="15.75" customHeight="1" s="23"/>
    <row r="255" ht="15.75" customHeight="1" s="23"/>
    <row r="256" ht="15.75" customHeight="1" s="23"/>
    <row r="257" ht="15.75" customHeight="1" s="23"/>
    <row r="258" ht="15.75" customHeight="1" s="23"/>
    <row r="259" ht="15.75" customHeight="1" s="23"/>
    <row r="260" ht="15.75" customHeight="1" s="23"/>
    <row r="261" ht="15.75" customHeight="1" s="23"/>
    <row r="262" ht="15.75" customHeight="1" s="23"/>
    <row r="263" ht="15.75" customHeight="1" s="23"/>
    <row r="264" ht="15.75" customHeight="1" s="23"/>
    <row r="265" ht="15.75" customHeight="1" s="23"/>
    <row r="266" ht="15.75" customHeight="1" s="23"/>
    <row r="267" ht="15.75" customHeight="1" s="23"/>
    <row r="268" ht="15.75" customHeight="1" s="23"/>
    <row r="269" ht="15.75" customHeight="1" s="23"/>
    <row r="270" ht="15.75" customHeight="1" s="23"/>
    <row r="271" ht="15.75" customHeight="1" s="23"/>
    <row r="272" ht="15.75" customHeight="1" s="23"/>
    <row r="273" ht="15.75" customHeight="1" s="23"/>
    <row r="274" ht="15.75" customHeight="1" s="23"/>
    <row r="275" ht="15.75" customHeight="1" s="23"/>
    <row r="276" ht="15.75" customHeight="1" s="23"/>
    <row r="277" ht="15.75" customHeight="1" s="23"/>
    <row r="278" ht="15.75" customHeight="1" s="23"/>
    <row r="279" ht="15.75" customHeight="1" s="23"/>
    <row r="280" ht="15.75" customHeight="1" s="23"/>
    <row r="281" ht="15.75" customHeight="1" s="23"/>
    <row r="282" ht="15.75" customHeight="1" s="23"/>
    <row r="283" ht="15.75" customHeight="1" s="23"/>
    <row r="284" ht="15.75" customHeight="1" s="23"/>
    <row r="285" ht="15.75" customHeight="1" s="23"/>
    <row r="286" ht="15.75" customHeight="1" s="23"/>
    <row r="287" ht="15.75" customHeight="1" s="23"/>
    <row r="288" ht="15.75" customHeight="1" s="23"/>
    <row r="289" ht="15.75" customHeight="1" s="23"/>
    <row r="290" ht="15.75" customHeight="1" s="23"/>
    <row r="291" ht="15.75" customHeight="1" s="23"/>
    <row r="292" ht="15.75" customHeight="1" s="23"/>
    <row r="293" ht="15.75" customHeight="1" s="23"/>
    <row r="294" ht="15.75" customHeight="1" s="23"/>
    <row r="295" ht="15.75" customHeight="1" s="23"/>
    <row r="296" ht="15.75" customHeight="1" s="23"/>
    <row r="297" ht="15.75" customHeight="1" s="23"/>
    <row r="298" ht="15.75" customHeight="1" s="23"/>
    <row r="299" ht="15.75" customHeight="1" s="23"/>
    <row r="300" ht="15.75" customHeight="1" s="23"/>
    <row r="301" ht="15.75" customHeight="1" s="23"/>
    <row r="302" ht="15.75" customHeight="1" s="23"/>
    <row r="303" ht="15.75" customHeight="1" s="23"/>
    <row r="304" ht="15.75" customHeight="1" s="23"/>
    <row r="305" ht="15.75" customHeight="1" s="23"/>
    <row r="306" ht="15.75" customHeight="1" s="23"/>
    <row r="307" ht="15.75" customHeight="1" s="23"/>
    <row r="308" ht="15.75" customHeight="1" s="23"/>
    <row r="309" ht="15.75" customHeight="1" s="23"/>
    <row r="310" ht="15.75" customHeight="1" s="23"/>
    <row r="311" ht="15.75" customHeight="1" s="23"/>
    <row r="312" ht="15.75" customHeight="1" s="23"/>
    <row r="313" ht="15.75" customHeight="1" s="23"/>
    <row r="314" ht="15.75" customHeight="1" s="23"/>
    <row r="315" ht="15.75" customHeight="1" s="23"/>
    <row r="316" ht="15.75" customHeight="1" s="23"/>
    <row r="317" ht="15.75" customHeight="1" s="23"/>
    <row r="318" ht="15.75" customHeight="1" s="23"/>
    <row r="319" ht="15.75" customHeight="1" s="23"/>
    <row r="320" ht="15.75" customHeight="1" s="23"/>
    <row r="321" ht="15.75" customHeight="1" s="23"/>
    <row r="322" ht="15.75" customHeight="1" s="23"/>
    <row r="323" ht="15.75" customHeight="1" s="23"/>
    <row r="324" ht="15.75" customHeight="1" s="23"/>
    <row r="325" ht="15.75" customHeight="1" s="23"/>
    <row r="326" ht="15.75" customHeight="1" s="23"/>
    <row r="327" ht="15.75" customHeight="1" s="23"/>
    <row r="328" ht="15.75" customHeight="1" s="23"/>
    <row r="329" ht="15.75" customHeight="1" s="23"/>
    <row r="330" ht="15.75" customHeight="1" s="23"/>
    <row r="331" ht="15.75" customHeight="1" s="23"/>
    <row r="332" ht="15.75" customHeight="1" s="23"/>
    <row r="333" ht="15.75" customHeight="1" s="23"/>
    <row r="334" ht="15.75" customHeight="1" s="23"/>
    <row r="335" ht="15.75" customHeight="1" s="23"/>
    <row r="336" ht="15.75" customHeight="1" s="23"/>
    <row r="337" ht="15.75" customHeight="1" s="23"/>
    <row r="338" ht="15.75" customHeight="1" s="23"/>
    <row r="339" ht="15.75" customHeight="1" s="23"/>
    <row r="340" ht="15.75" customHeight="1" s="23"/>
    <row r="341" ht="15.75" customHeight="1" s="23"/>
    <row r="342" ht="15.75" customHeight="1" s="23"/>
    <row r="343" ht="15.75" customHeight="1" s="23"/>
    <row r="344" ht="15.75" customHeight="1" s="23"/>
    <row r="345" ht="15.75" customHeight="1" s="23"/>
    <row r="346" ht="15.75" customHeight="1" s="23"/>
    <row r="347" ht="15.75" customHeight="1" s="23"/>
    <row r="348" ht="15.75" customHeight="1" s="23"/>
    <row r="349" ht="15.75" customHeight="1" s="23"/>
    <row r="350" ht="15.75" customHeight="1" s="23"/>
    <row r="351" ht="15.75" customHeight="1" s="23"/>
    <row r="352" ht="15.75" customHeight="1" s="23"/>
    <row r="353" ht="15.75" customHeight="1" s="23"/>
    <row r="354" ht="15.75" customHeight="1" s="23"/>
    <row r="355" ht="15.75" customHeight="1" s="23"/>
    <row r="356" ht="15.75" customHeight="1" s="23"/>
    <row r="357" ht="15.75" customHeight="1" s="23"/>
    <row r="358" ht="15.75" customHeight="1" s="23"/>
    <row r="359" ht="15.75" customHeight="1" s="23"/>
    <row r="360" ht="15.75" customHeight="1" s="23"/>
    <row r="361" ht="15.75" customHeight="1" s="23"/>
    <row r="362" ht="15.75" customHeight="1" s="23"/>
    <row r="363" ht="15.75" customHeight="1" s="23"/>
    <row r="364" ht="15.75" customHeight="1" s="23"/>
    <row r="365" ht="15.75" customHeight="1" s="23"/>
    <row r="366" ht="15.75" customHeight="1" s="23"/>
    <row r="367" ht="15.75" customHeight="1" s="23"/>
    <row r="368" ht="15.75" customHeight="1" s="23"/>
    <row r="369" ht="15.75" customHeight="1" s="23"/>
    <row r="370" ht="15.75" customHeight="1" s="23"/>
    <row r="371" ht="15.75" customHeight="1" s="23"/>
    <row r="372" ht="15.75" customHeight="1" s="23"/>
    <row r="373" ht="15.75" customHeight="1" s="23"/>
    <row r="374" ht="15.75" customHeight="1" s="23"/>
    <row r="375" ht="15.75" customHeight="1" s="23"/>
    <row r="376" ht="15.75" customHeight="1" s="23"/>
    <row r="377" ht="15.75" customHeight="1" s="23"/>
    <row r="378" ht="15.75" customHeight="1" s="23"/>
    <row r="379" ht="15.75" customHeight="1" s="23"/>
    <row r="380" ht="15.75" customHeight="1" s="23"/>
    <row r="381" ht="15.75" customHeight="1" s="23"/>
    <row r="382" ht="15.75" customHeight="1" s="23"/>
    <row r="383" ht="15.75" customHeight="1" s="23"/>
    <row r="384" ht="15.75" customHeight="1" s="23"/>
    <row r="385" ht="15.75" customHeight="1" s="23"/>
    <row r="386" ht="15.75" customHeight="1" s="23"/>
    <row r="387" ht="15.75" customHeight="1" s="23"/>
    <row r="388" ht="15.75" customHeight="1" s="23"/>
    <row r="389" ht="15.75" customHeight="1" s="23"/>
    <row r="390" ht="15.75" customHeight="1" s="23"/>
    <row r="391" ht="15.75" customHeight="1" s="23"/>
    <row r="392" ht="15.75" customHeight="1" s="23"/>
    <row r="393" ht="15.75" customHeight="1" s="23"/>
    <row r="394" ht="15.75" customHeight="1" s="23"/>
    <row r="395" ht="15.75" customHeight="1" s="23"/>
    <row r="396" ht="15.75" customHeight="1" s="23"/>
    <row r="397" ht="15.75" customHeight="1" s="23"/>
    <row r="398" ht="15.75" customHeight="1" s="23"/>
    <row r="399" ht="15.75" customHeight="1" s="23"/>
    <row r="400" ht="15.75" customHeight="1" s="23"/>
    <row r="401" ht="15.75" customHeight="1" s="23"/>
    <row r="402" ht="15.75" customHeight="1" s="23"/>
    <row r="403" ht="15.75" customHeight="1" s="23"/>
    <row r="404" ht="15.75" customHeight="1" s="23"/>
    <row r="405" ht="15.75" customHeight="1" s="23"/>
    <row r="406" ht="15.75" customHeight="1" s="23"/>
    <row r="407" ht="15.75" customHeight="1" s="23"/>
    <row r="408" ht="15.75" customHeight="1" s="23"/>
    <row r="409" ht="15.75" customHeight="1" s="23"/>
    <row r="410" ht="15.75" customHeight="1" s="23"/>
    <row r="411" ht="15.75" customHeight="1" s="23"/>
    <row r="412" ht="15.75" customHeight="1" s="23"/>
    <row r="413" ht="15.75" customHeight="1" s="23"/>
    <row r="414" ht="15.75" customHeight="1" s="23"/>
    <row r="415" ht="15.75" customHeight="1" s="23"/>
    <row r="416" ht="15.75" customHeight="1" s="23"/>
    <row r="417" ht="15.75" customHeight="1" s="23"/>
    <row r="418" ht="15.75" customHeight="1" s="23"/>
    <row r="419" ht="15.75" customHeight="1" s="23"/>
    <row r="420" ht="15.75" customHeight="1" s="23"/>
    <row r="421" ht="15.75" customHeight="1" s="23"/>
    <row r="422" ht="15.75" customHeight="1" s="23"/>
    <row r="423" ht="15.75" customHeight="1" s="23"/>
    <row r="424" ht="15.75" customHeight="1" s="23"/>
    <row r="425" ht="15.75" customHeight="1" s="23"/>
    <row r="426" ht="15.75" customHeight="1" s="23"/>
    <row r="427" ht="15.75" customHeight="1" s="23"/>
    <row r="428" ht="15.75" customHeight="1" s="23"/>
    <row r="429" ht="15.75" customHeight="1" s="23"/>
    <row r="430" ht="15.75" customHeight="1" s="23"/>
    <row r="431" ht="15.75" customHeight="1" s="23"/>
    <row r="432" ht="15.75" customHeight="1" s="23"/>
    <row r="433" ht="15.75" customHeight="1" s="23"/>
    <row r="434" ht="15.75" customHeight="1" s="23"/>
    <row r="435" ht="15.75" customHeight="1" s="23"/>
    <row r="436" ht="15.75" customHeight="1" s="23"/>
    <row r="437" ht="15.75" customHeight="1" s="23"/>
    <row r="438" ht="15.75" customHeight="1" s="23"/>
    <row r="439" ht="15.75" customHeight="1" s="23"/>
    <row r="440" ht="15.75" customHeight="1" s="23"/>
    <row r="441" ht="15.75" customHeight="1" s="23"/>
    <row r="442" ht="15.75" customHeight="1" s="23"/>
    <row r="443" ht="15.75" customHeight="1" s="23"/>
    <row r="444" ht="15.75" customHeight="1" s="23"/>
    <row r="445" ht="15.75" customHeight="1" s="23"/>
    <row r="446" ht="15.75" customHeight="1" s="23"/>
    <row r="447" ht="15.75" customHeight="1" s="23"/>
    <row r="448" ht="15.75" customHeight="1" s="23"/>
    <row r="449" ht="15.75" customHeight="1" s="23"/>
    <row r="450" ht="15.75" customHeight="1" s="23"/>
    <row r="451" ht="15.75" customHeight="1" s="23"/>
    <row r="452" ht="15.75" customHeight="1" s="23"/>
    <row r="453" ht="15.75" customHeight="1" s="23"/>
    <row r="454" ht="15.75" customHeight="1" s="23"/>
    <row r="455" ht="15.75" customHeight="1" s="23"/>
    <row r="456" ht="15.75" customHeight="1" s="23"/>
    <row r="457" ht="15.75" customHeight="1" s="23"/>
    <row r="458" ht="15.75" customHeight="1" s="23"/>
    <row r="459" ht="15.75" customHeight="1" s="23"/>
    <row r="460" ht="15.75" customHeight="1" s="23"/>
    <row r="461" ht="15.75" customHeight="1" s="23"/>
    <row r="462" ht="15.75" customHeight="1" s="23"/>
    <row r="463" ht="15.75" customHeight="1" s="23"/>
    <row r="464" ht="15.75" customHeight="1" s="23"/>
    <row r="465" ht="15.75" customHeight="1" s="23"/>
    <row r="466" ht="15.75" customHeight="1" s="23"/>
    <row r="467" ht="15.75" customHeight="1" s="23"/>
    <row r="468" ht="15.75" customHeight="1" s="23"/>
    <row r="469" ht="15.75" customHeight="1" s="23"/>
    <row r="470" ht="15.75" customHeight="1" s="23"/>
    <row r="471" ht="15.75" customHeight="1" s="23"/>
    <row r="472" ht="15.75" customHeight="1" s="23"/>
    <row r="473" ht="15.75" customHeight="1" s="23"/>
    <row r="474" ht="15.75" customHeight="1" s="23"/>
    <row r="475" ht="15.75" customHeight="1" s="23"/>
    <row r="476" ht="15.75" customHeight="1" s="23"/>
    <row r="477" ht="15.75" customHeight="1" s="23"/>
    <row r="478" ht="15.75" customHeight="1" s="23"/>
    <row r="479" ht="15.75" customHeight="1" s="23"/>
    <row r="480" ht="15.75" customHeight="1" s="23"/>
    <row r="481" ht="15.75" customHeight="1" s="23"/>
    <row r="482" ht="15.75" customHeight="1" s="23"/>
    <row r="483" ht="15.75" customHeight="1" s="23"/>
    <row r="484" ht="15.75" customHeight="1" s="23"/>
    <row r="485" ht="15.75" customHeight="1" s="23"/>
    <row r="486" ht="15.75" customHeight="1" s="23"/>
    <row r="487" ht="15.75" customHeight="1" s="23"/>
    <row r="488" ht="15.75" customHeight="1" s="23"/>
    <row r="489" ht="15.75" customHeight="1" s="23"/>
    <row r="490" ht="15.75" customHeight="1" s="23"/>
    <row r="491" ht="15.75" customHeight="1" s="23"/>
    <row r="492" ht="15.75" customHeight="1" s="23"/>
    <row r="493" ht="15.75" customHeight="1" s="23"/>
    <row r="494" ht="15.75" customHeight="1" s="23"/>
    <row r="495" ht="15.75" customHeight="1" s="23"/>
    <row r="496" ht="15.75" customHeight="1" s="23"/>
    <row r="497" ht="15.75" customHeight="1" s="23"/>
    <row r="498" ht="15.75" customHeight="1" s="23"/>
    <row r="499" ht="15.75" customHeight="1" s="23"/>
    <row r="500" ht="15.75" customHeight="1" s="23"/>
    <row r="501" ht="15.75" customHeight="1" s="23"/>
    <row r="502" ht="15.75" customHeight="1" s="23"/>
    <row r="503" ht="15.75" customHeight="1" s="23"/>
    <row r="504" ht="15.75" customHeight="1" s="23"/>
    <row r="505" ht="15.75" customHeight="1" s="23"/>
    <row r="506" ht="15.75" customHeight="1" s="23"/>
    <row r="507" ht="15.75" customHeight="1" s="23"/>
    <row r="508" ht="15.75" customHeight="1" s="23"/>
    <row r="509" ht="15.75" customHeight="1" s="23"/>
    <row r="510" ht="15.75" customHeight="1" s="23"/>
    <row r="511" ht="15.75" customHeight="1" s="23"/>
    <row r="512" ht="15.75" customHeight="1" s="23"/>
    <row r="513" ht="15.75" customHeight="1" s="23"/>
    <row r="514" ht="15.75" customHeight="1" s="23"/>
    <row r="515" ht="15.75" customHeight="1" s="23"/>
    <row r="516" ht="15.75" customHeight="1" s="23"/>
    <row r="517" ht="15.75" customHeight="1" s="23"/>
    <row r="518" ht="15.75" customHeight="1" s="23"/>
    <row r="519" ht="15.75" customHeight="1" s="23"/>
    <row r="520" ht="15.75" customHeight="1" s="23"/>
    <row r="521" ht="15.75" customHeight="1" s="23"/>
    <row r="522" ht="15.75" customHeight="1" s="23"/>
    <row r="523" ht="15.75" customHeight="1" s="23"/>
    <row r="524" ht="15.75" customHeight="1" s="23"/>
    <row r="525" ht="15.75" customHeight="1" s="23"/>
    <row r="526" ht="15.75" customHeight="1" s="23"/>
    <row r="527" ht="15.75" customHeight="1" s="23"/>
    <row r="528" ht="15.75" customHeight="1" s="23"/>
    <row r="529" ht="15.75" customHeight="1" s="23"/>
    <row r="530" ht="15.75" customHeight="1" s="23"/>
    <row r="531" ht="15.75" customHeight="1" s="23"/>
    <row r="532" ht="15.75" customHeight="1" s="23"/>
    <row r="533" ht="15.75" customHeight="1" s="23"/>
    <row r="534" ht="15.75" customHeight="1" s="23"/>
    <row r="535" ht="15.75" customHeight="1" s="23"/>
    <row r="536" ht="15.75" customHeight="1" s="23"/>
    <row r="537" ht="15.75" customHeight="1" s="23"/>
    <row r="538" ht="15.75" customHeight="1" s="23"/>
    <row r="539" ht="15.75" customHeight="1" s="23"/>
    <row r="540" ht="15.75" customHeight="1" s="23"/>
    <row r="541" ht="15.75" customHeight="1" s="23"/>
    <row r="542" ht="15.75" customHeight="1" s="23"/>
    <row r="543" ht="15.75" customHeight="1" s="23"/>
    <row r="544" ht="15.75" customHeight="1" s="23"/>
    <row r="545" ht="15.75" customHeight="1" s="23"/>
    <row r="546" ht="15.75" customHeight="1" s="23"/>
    <row r="547" ht="15.75" customHeight="1" s="23"/>
    <row r="548" ht="15.75" customHeight="1" s="23"/>
    <row r="549" ht="15.75" customHeight="1" s="23"/>
    <row r="550" ht="15.75" customHeight="1" s="23"/>
    <row r="551" ht="15.75" customHeight="1" s="23"/>
    <row r="552" ht="15.75" customHeight="1" s="23"/>
    <row r="553" ht="15.75" customHeight="1" s="23"/>
    <row r="554" ht="15.75" customHeight="1" s="23"/>
    <row r="555" ht="15.75" customHeight="1" s="23"/>
    <row r="556" ht="15.75" customHeight="1" s="23"/>
    <row r="557" ht="15.75" customHeight="1" s="23"/>
    <row r="558" ht="15.75" customHeight="1" s="23"/>
    <row r="559" ht="15.75" customHeight="1" s="23"/>
    <row r="560" ht="15.75" customHeight="1" s="23"/>
    <row r="561" ht="15.75" customHeight="1" s="23"/>
    <row r="562" ht="15.75" customHeight="1" s="23"/>
    <row r="563" ht="15.75" customHeight="1" s="23"/>
    <row r="564" ht="15.75" customHeight="1" s="23"/>
    <row r="565" ht="15.75" customHeight="1" s="23"/>
    <row r="566" ht="15.75" customHeight="1" s="23"/>
    <row r="567" ht="15.75" customHeight="1" s="23"/>
    <row r="568" ht="15.75" customHeight="1" s="23"/>
    <row r="569" ht="15.75" customHeight="1" s="23"/>
    <row r="570" ht="15.75" customHeight="1" s="23"/>
    <row r="571" ht="15.75" customHeight="1" s="23"/>
    <row r="572" ht="15.75" customHeight="1" s="23"/>
    <row r="573" ht="15.75" customHeight="1" s="23"/>
    <row r="574" ht="15.75" customHeight="1" s="23"/>
    <row r="575" ht="15.75" customHeight="1" s="23"/>
    <row r="576" ht="15.75" customHeight="1" s="23"/>
    <row r="577" ht="15.75" customHeight="1" s="23"/>
    <row r="578" ht="15.75" customHeight="1" s="23"/>
    <row r="579" ht="15.75" customHeight="1" s="23"/>
    <row r="580" ht="15.75" customHeight="1" s="23"/>
    <row r="581" ht="15.75" customHeight="1" s="23"/>
    <row r="582" ht="15.75" customHeight="1" s="23"/>
    <row r="583" ht="15.75" customHeight="1" s="23"/>
    <row r="584" ht="15.75" customHeight="1" s="23"/>
    <row r="585" ht="15.75" customHeight="1" s="23"/>
    <row r="586" ht="15.75" customHeight="1" s="23"/>
    <row r="587" ht="15.75" customHeight="1" s="23"/>
    <row r="588" ht="15.75" customHeight="1" s="23"/>
    <row r="589" ht="15.75" customHeight="1" s="23"/>
    <row r="590" ht="15.75" customHeight="1" s="23"/>
    <row r="591" ht="15.75" customHeight="1" s="23"/>
    <row r="592" ht="15.75" customHeight="1" s="23"/>
    <row r="593" ht="15.75" customHeight="1" s="23"/>
    <row r="594" ht="15.75" customHeight="1" s="23"/>
    <row r="595" ht="15.75" customHeight="1" s="23"/>
    <row r="596" ht="15.75" customHeight="1" s="23"/>
    <row r="597" ht="15.75" customHeight="1" s="23"/>
    <row r="598" ht="15.75" customHeight="1" s="23"/>
    <row r="599" ht="15.75" customHeight="1" s="23"/>
    <row r="600" ht="15.75" customHeight="1" s="23"/>
    <row r="601" ht="15.75" customHeight="1" s="23"/>
    <row r="602" ht="15.75" customHeight="1" s="23"/>
    <row r="603" ht="15.75" customHeight="1" s="23"/>
    <row r="604" ht="15.75" customHeight="1" s="23"/>
    <row r="605" ht="15.75" customHeight="1" s="23"/>
    <row r="606" ht="15.75" customHeight="1" s="23"/>
    <row r="607" ht="15.75" customHeight="1" s="23"/>
    <row r="608" ht="15.75" customHeight="1" s="23"/>
    <row r="609" ht="15.75" customHeight="1" s="23"/>
    <row r="610" ht="15.75" customHeight="1" s="23"/>
    <row r="611" ht="15.75" customHeight="1" s="23"/>
    <row r="612" ht="15.75" customHeight="1" s="23"/>
    <row r="613" ht="15.75" customHeight="1" s="23"/>
    <row r="614" ht="15.75" customHeight="1" s="23"/>
    <row r="615" ht="15.75" customHeight="1" s="23"/>
    <row r="616" ht="15.75" customHeight="1" s="23"/>
    <row r="617" ht="15.75" customHeight="1" s="23"/>
    <row r="618" ht="15.75" customHeight="1" s="23"/>
    <row r="619" ht="15.75" customHeight="1" s="23"/>
    <row r="620" ht="15.75" customHeight="1" s="23"/>
    <row r="621" ht="15.75" customHeight="1" s="23"/>
    <row r="622" ht="15.75" customHeight="1" s="23"/>
    <row r="623" ht="15.75" customHeight="1" s="23"/>
    <row r="624" ht="15.75" customHeight="1" s="23"/>
    <row r="625" ht="15.75" customHeight="1" s="23"/>
    <row r="626" ht="15.75" customHeight="1" s="23"/>
    <row r="627" ht="15.75" customHeight="1" s="23"/>
    <row r="628" ht="15.75" customHeight="1" s="23"/>
    <row r="629" ht="15.75" customHeight="1" s="23"/>
    <row r="630" ht="15.75" customHeight="1" s="23"/>
    <row r="631" ht="15.75" customHeight="1" s="23"/>
    <row r="632" ht="15.75" customHeight="1" s="23"/>
    <row r="633" ht="15.75" customHeight="1" s="23"/>
    <row r="634" ht="15.75" customHeight="1" s="23"/>
    <row r="635" ht="15.75" customHeight="1" s="23"/>
    <row r="636" ht="15.75" customHeight="1" s="23"/>
    <row r="637" ht="15.75" customHeight="1" s="23"/>
    <row r="638" ht="15.75" customHeight="1" s="23"/>
    <row r="639" ht="15.75" customHeight="1" s="23"/>
    <row r="640" ht="15.75" customHeight="1" s="23"/>
    <row r="641" ht="15.75" customHeight="1" s="23"/>
    <row r="642" ht="15.75" customHeight="1" s="23"/>
    <row r="643" ht="15.75" customHeight="1" s="23"/>
    <row r="644" ht="15.75" customHeight="1" s="23"/>
    <row r="645" ht="15.75" customHeight="1" s="23"/>
    <row r="646" ht="15.75" customHeight="1" s="23"/>
    <row r="647" ht="15.75" customHeight="1" s="23"/>
    <row r="648" ht="15.75" customHeight="1" s="23"/>
    <row r="649" ht="15.75" customHeight="1" s="23"/>
    <row r="650" ht="15.75" customHeight="1" s="23"/>
    <row r="651" ht="15.75" customHeight="1" s="23"/>
    <row r="652" ht="15.75" customHeight="1" s="23"/>
    <row r="653" ht="15.75" customHeight="1" s="23"/>
    <row r="654" ht="15.75" customHeight="1" s="23"/>
    <row r="655" ht="15.75" customHeight="1" s="23"/>
    <row r="656" ht="15.75" customHeight="1" s="23"/>
    <row r="657" ht="15.75" customHeight="1" s="23"/>
    <row r="658" ht="15.75" customHeight="1" s="23"/>
    <row r="659" ht="15.75" customHeight="1" s="23"/>
    <row r="660" ht="15.75" customHeight="1" s="23"/>
    <row r="661" ht="15.75" customHeight="1" s="23"/>
    <row r="662" ht="15.75" customHeight="1" s="23"/>
    <row r="663" ht="15.75" customHeight="1" s="23"/>
    <row r="664" ht="15.75" customHeight="1" s="23"/>
    <row r="665" ht="15.75" customHeight="1" s="23"/>
    <row r="666" ht="15.75" customHeight="1" s="23"/>
    <row r="667" ht="15.75" customHeight="1" s="23"/>
    <row r="668" ht="15.75" customHeight="1" s="23"/>
    <row r="669" ht="15.75" customHeight="1" s="23"/>
    <row r="670" ht="15.75" customHeight="1" s="23"/>
    <row r="671" ht="15.75" customHeight="1" s="23"/>
    <row r="672" ht="15.75" customHeight="1" s="23"/>
    <row r="673" ht="15.75" customHeight="1" s="23"/>
    <row r="674" ht="15.75" customHeight="1" s="23"/>
    <row r="675" ht="15.75" customHeight="1" s="23"/>
    <row r="676" ht="15.75" customHeight="1" s="23"/>
    <row r="677" ht="15.75" customHeight="1" s="23"/>
    <row r="678" ht="15.75" customHeight="1" s="23"/>
    <row r="679" ht="15.75" customHeight="1" s="23"/>
    <row r="680" ht="15.75" customHeight="1" s="23"/>
    <row r="681" ht="15.75" customHeight="1" s="23"/>
    <row r="682" ht="15.75" customHeight="1" s="23"/>
    <row r="683" ht="15.75" customHeight="1" s="23"/>
    <row r="684" ht="15.75" customHeight="1" s="23"/>
    <row r="685" ht="15.75" customHeight="1" s="23"/>
    <row r="686" ht="15.75" customHeight="1" s="23"/>
    <row r="687" ht="15.75" customHeight="1" s="23"/>
    <row r="688" ht="15.75" customHeight="1" s="23"/>
    <row r="689" ht="15.75" customHeight="1" s="23"/>
    <row r="690" ht="15.75" customHeight="1" s="23"/>
    <row r="691" ht="15.75" customHeight="1" s="23"/>
    <row r="692" ht="15.75" customHeight="1" s="23"/>
    <row r="693" ht="15.75" customHeight="1" s="23"/>
    <row r="694" ht="15.75" customHeight="1" s="23"/>
    <row r="695" ht="15.75" customHeight="1" s="23"/>
    <row r="696" ht="15.75" customHeight="1" s="23"/>
    <row r="697" ht="15.75" customHeight="1" s="23"/>
    <row r="698" ht="15.75" customHeight="1" s="23"/>
    <row r="699" ht="15.75" customHeight="1" s="23"/>
    <row r="700" ht="15.75" customHeight="1" s="23"/>
    <row r="701" ht="15.75" customHeight="1" s="23"/>
    <row r="702" ht="15.75" customHeight="1" s="23"/>
    <row r="703" ht="15.75" customHeight="1" s="23"/>
    <row r="704" ht="15.75" customHeight="1" s="23"/>
    <row r="705" ht="15.75" customHeight="1" s="23"/>
    <row r="706" ht="15.75" customHeight="1" s="23"/>
    <row r="707" ht="15.75" customHeight="1" s="23"/>
    <row r="708" ht="15.75" customHeight="1" s="23"/>
    <row r="709" ht="15.75" customHeight="1" s="23"/>
    <row r="710" ht="15.75" customHeight="1" s="23"/>
    <row r="711" ht="15.75" customHeight="1" s="23"/>
    <row r="712" ht="15.75" customHeight="1" s="23"/>
    <row r="713" ht="15.75" customHeight="1" s="23"/>
    <row r="714" ht="15.75" customHeight="1" s="23"/>
    <row r="715" ht="15.75" customHeight="1" s="23"/>
    <row r="716" ht="15.75" customHeight="1" s="23"/>
    <row r="717" ht="15.75" customHeight="1" s="23"/>
    <row r="718" ht="15.75" customHeight="1" s="23"/>
    <row r="719" ht="15.75" customHeight="1" s="23"/>
    <row r="720" ht="15.75" customHeight="1" s="23"/>
    <row r="721" ht="15.75" customHeight="1" s="23"/>
    <row r="722" ht="15.75" customHeight="1" s="23"/>
    <row r="723" ht="15.75" customHeight="1" s="23"/>
    <row r="724" ht="15.75" customHeight="1" s="23"/>
    <row r="725" ht="15.75" customHeight="1" s="23"/>
    <row r="726" ht="15.75" customHeight="1" s="23"/>
    <row r="727" ht="15.75" customHeight="1" s="23"/>
    <row r="728" ht="15.75" customHeight="1" s="23"/>
    <row r="729" ht="15.75" customHeight="1" s="23"/>
    <row r="730" ht="15.75" customHeight="1" s="23"/>
    <row r="731" ht="15.75" customHeight="1" s="23"/>
    <row r="732" ht="15.75" customHeight="1" s="23"/>
    <row r="733" ht="15.75" customHeight="1" s="23"/>
    <row r="734" ht="15.75" customHeight="1" s="23"/>
    <row r="735" ht="15.75" customHeight="1" s="23"/>
    <row r="736" ht="15.75" customHeight="1" s="23"/>
    <row r="737" ht="15.75" customHeight="1" s="23"/>
    <row r="738" ht="15.75" customHeight="1" s="23"/>
    <row r="739" ht="15.75" customHeight="1" s="23"/>
    <row r="740" ht="15.75" customHeight="1" s="23"/>
    <row r="741" ht="15.75" customHeight="1" s="23"/>
    <row r="742" ht="15.75" customHeight="1" s="23"/>
    <row r="743" ht="15.75" customHeight="1" s="23"/>
    <row r="744" ht="15.75" customHeight="1" s="23"/>
    <row r="745" ht="15.75" customHeight="1" s="23"/>
    <row r="746" ht="15.75" customHeight="1" s="23"/>
    <row r="747" ht="15.75" customHeight="1" s="23"/>
    <row r="748" ht="15.75" customHeight="1" s="23"/>
    <row r="749" ht="15.75" customHeight="1" s="23"/>
    <row r="750" ht="15.75" customHeight="1" s="23"/>
    <row r="751" ht="15.75" customHeight="1" s="23"/>
    <row r="752" ht="15.75" customHeight="1" s="23"/>
    <row r="753" ht="15.75" customHeight="1" s="23"/>
    <row r="754" ht="15.75" customHeight="1" s="23"/>
    <row r="755" ht="15.75" customHeight="1" s="23"/>
    <row r="756" ht="15.75" customHeight="1" s="23"/>
    <row r="757" ht="15.75" customHeight="1" s="23"/>
    <row r="758" ht="15.75" customHeight="1" s="23"/>
    <row r="759" ht="15.75" customHeight="1" s="23"/>
    <row r="760" ht="15.75" customHeight="1" s="23"/>
    <row r="761" ht="15.75" customHeight="1" s="23"/>
    <row r="762" ht="15.75" customHeight="1" s="23"/>
    <row r="763" ht="15.75" customHeight="1" s="23"/>
    <row r="764" ht="15.75" customHeight="1" s="23"/>
    <row r="765" ht="15.75" customHeight="1" s="23"/>
    <row r="766" ht="15.75" customHeight="1" s="23"/>
    <row r="767" ht="15.75" customHeight="1" s="23"/>
    <row r="768" ht="15.75" customHeight="1" s="23"/>
    <row r="769" ht="15.75" customHeight="1" s="23"/>
    <row r="770" ht="15.75" customHeight="1" s="23"/>
    <row r="771" ht="15.75" customHeight="1" s="23"/>
    <row r="772" ht="15.75" customHeight="1" s="23"/>
    <row r="773" ht="15.75" customHeight="1" s="23"/>
    <row r="774" ht="15.75" customHeight="1" s="23"/>
    <row r="775" ht="15.75" customHeight="1" s="23"/>
    <row r="776" ht="15.75" customHeight="1" s="23"/>
    <row r="777" ht="15.75" customHeight="1" s="23"/>
    <row r="778" ht="15.75" customHeight="1" s="23"/>
    <row r="779" ht="15.75" customHeight="1" s="23"/>
    <row r="780" ht="15.75" customHeight="1" s="23"/>
    <row r="781" ht="15.75" customHeight="1" s="23"/>
    <row r="782" ht="15.75" customHeight="1" s="23"/>
    <row r="783" ht="15.75" customHeight="1" s="23"/>
    <row r="784" ht="15.75" customHeight="1" s="23"/>
    <row r="785" ht="15.75" customHeight="1" s="23"/>
    <row r="786" ht="15.75" customHeight="1" s="23"/>
    <row r="787" ht="15.75" customHeight="1" s="23"/>
    <row r="788" ht="15.75" customHeight="1" s="23"/>
    <row r="789" ht="15.75" customHeight="1" s="23"/>
    <row r="790" ht="15.75" customHeight="1" s="23"/>
    <row r="791" ht="15.75" customHeight="1" s="23"/>
    <row r="792" ht="15.75" customHeight="1" s="23"/>
    <row r="793" ht="15.75" customHeight="1" s="23"/>
    <row r="794" ht="15.75" customHeight="1" s="23"/>
    <row r="795" ht="15.75" customHeight="1" s="23"/>
    <row r="796" ht="15.75" customHeight="1" s="23"/>
    <row r="797" ht="15.75" customHeight="1" s="23"/>
    <row r="798" ht="15.75" customHeight="1" s="23"/>
    <row r="799" ht="15.75" customHeight="1" s="23"/>
    <row r="800" ht="15.75" customHeight="1" s="23"/>
    <row r="801" ht="15.75" customHeight="1" s="23"/>
    <row r="802" ht="15.75" customHeight="1" s="23"/>
    <row r="803" ht="15.75" customHeight="1" s="23"/>
    <row r="804" ht="15.75" customHeight="1" s="23"/>
    <row r="805" ht="15.75" customHeight="1" s="23"/>
    <row r="806" ht="15.75" customHeight="1" s="23"/>
    <row r="807" ht="15.75" customHeight="1" s="23"/>
    <row r="808" ht="15.75" customHeight="1" s="23"/>
    <row r="809" ht="15.75" customHeight="1" s="23"/>
    <row r="810" ht="15.75" customHeight="1" s="23"/>
    <row r="811" ht="15.75" customHeight="1" s="23"/>
    <row r="812" ht="15.75" customHeight="1" s="23"/>
    <row r="813" ht="15.75" customHeight="1" s="23"/>
    <row r="814" ht="15.75" customHeight="1" s="23"/>
    <row r="815" ht="15.75" customHeight="1" s="23"/>
    <row r="816" ht="15.75" customHeight="1" s="23"/>
    <row r="817" ht="15.75" customHeight="1" s="23"/>
    <row r="818" ht="15.75" customHeight="1" s="23"/>
    <row r="819" ht="15.75" customHeight="1" s="23"/>
    <row r="820" ht="15.75" customHeight="1" s="23"/>
    <row r="821" ht="15.75" customHeight="1" s="23"/>
    <row r="822" ht="15.75" customHeight="1" s="23"/>
    <row r="823" ht="15.75" customHeight="1" s="23"/>
    <row r="824" ht="15.75" customHeight="1" s="23"/>
    <row r="825" ht="15.75" customHeight="1" s="23"/>
    <row r="826" ht="15.75" customHeight="1" s="23"/>
    <row r="827" ht="15.75" customHeight="1" s="23"/>
    <row r="828" ht="15.75" customHeight="1" s="23"/>
    <row r="829" ht="15.75" customHeight="1" s="23"/>
    <row r="830" ht="15.75" customHeight="1" s="23"/>
    <row r="831" ht="15.75" customHeight="1" s="23"/>
    <row r="832" ht="15.75" customHeight="1" s="23"/>
    <row r="833" ht="15.75" customHeight="1" s="23"/>
    <row r="834" ht="15.75" customHeight="1" s="23"/>
    <row r="835" ht="15.75" customHeight="1" s="23"/>
    <row r="836" ht="15.75" customHeight="1" s="23"/>
    <row r="837" ht="15.75" customHeight="1" s="23"/>
    <row r="838" ht="15.75" customHeight="1" s="23"/>
    <row r="839" ht="15.75" customHeight="1" s="23"/>
    <row r="840" ht="15.75" customHeight="1" s="23"/>
    <row r="841" ht="15.75" customHeight="1" s="23"/>
    <row r="842" ht="15.75" customHeight="1" s="23"/>
    <row r="843" ht="15.75" customHeight="1" s="23"/>
    <row r="844" ht="15.75" customHeight="1" s="23"/>
    <row r="845" ht="15.75" customHeight="1" s="23"/>
    <row r="846" ht="15.75" customHeight="1" s="23"/>
    <row r="847" ht="15.75" customHeight="1" s="23"/>
    <row r="848" ht="15.75" customHeight="1" s="23"/>
    <row r="849" ht="15.75" customHeight="1" s="23"/>
    <row r="850" ht="15.75" customHeight="1" s="23"/>
    <row r="851" ht="15.75" customHeight="1" s="23"/>
    <row r="852" ht="15.75" customHeight="1" s="23"/>
    <row r="853" ht="15.75" customHeight="1" s="23"/>
    <row r="854" ht="15.75" customHeight="1" s="23"/>
    <row r="855" ht="15.75" customHeight="1" s="23"/>
    <row r="856" ht="15.75" customHeight="1" s="23"/>
    <row r="857" ht="15.75" customHeight="1" s="23"/>
    <row r="858" ht="15.75" customHeight="1" s="23"/>
    <row r="859" ht="15.75" customHeight="1" s="23"/>
    <row r="860" ht="15.75" customHeight="1" s="23"/>
    <row r="861" ht="15.75" customHeight="1" s="23"/>
    <row r="862" ht="15.75" customHeight="1" s="23"/>
    <row r="863" ht="15.75" customHeight="1" s="23"/>
    <row r="864" ht="15.75" customHeight="1" s="23"/>
    <row r="865" ht="15.75" customHeight="1" s="23"/>
    <row r="866" ht="15.75" customHeight="1" s="23"/>
    <row r="867" ht="15.75" customHeight="1" s="23"/>
    <row r="868" ht="15.75" customHeight="1" s="23"/>
    <row r="869" ht="15.75" customHeight="1" s="23"/>
    <row r="870" ht="15.75" customHeight="1" s="23"/>
    <row r="871" ht="15.75" customHeight="1" s="23"/>
    <row r="872" ht="15.75" customHeight="1" s="23"/>
    <row r="873" ht="15.75" customHeight="1" s="23"/>
    <row r="874" ht="15.75" customHeight="1" s="23"/>
    <row r="875" ht="15.75" customHeight="1" s="23"/>
    <row r="876" ht="15.75" customHeight="1" s="23"/>
    <row r="877" ht="15.75" customHeight="1" s="23"/>
    <row r="878" ht="15.75" customHeight="1" s="23"/>
    <row r="879" ht="15.75" customHeight="1" s="23"/>
    <row r="880" ht="15.75" customHeight="1" s="23"/>
    <row r="881" ht="15.75" customHeight="1" s="23"/>
    <row r="882" ht="15.75" customHeight="1" s="23"/>
    <row r="883" ht="15.75" customHeight="1" s="23"/>
    <row r="884" ht="15.75" customHeight="1" s="23"/>
    <row r="885" ht="15.75" customHeight="1" s="23"/>
    <row r="886" ht="15.75" customHeight="1" s="23"/>
    <row r="887" ht="15.75" customHeight="1" s="23"/>
    <row r="888" ht="15.75" customHeight="1" s="23"/>
    <row r="889" ht="15.75" customHeight="1" s="23"/>
    <row r="890" ht="15.75" customHeight="1" s="23"/>
    <row r="891" ht="15.75" customHeight="1" s="23"/>
    <row r="892" ht="15.75" customHeight="1" s="23"/>
    <row r="893" ht="15.75" customHeight="1" s="23"/>
    <row r="894" ht="15.75" customHeight="1" s="23"/>
    <row r="895" ht="15.75" customHeight="1" s="23"/>
    <row r="896" ht="15.75" customHeight="1" s="23"/>
    <row r="897" ht="15.75" customHeight="1" s="23"/>
    <row r="898" ht="15.75" customHeight="1" s="23"/>
    <row r="899" ht="15.75" customHeight="1" s="23"/>
    <row r="900" ht="15.75" customHeight="1" s="23"/>
    <row r="901" ht="15.75" customHeight="1" s="23"/>
    <row r="902" ht="15.75" customHeight="1" s="23"/>
    <row r="903" ht="15.75" customHeight="1" s="23"/>
    <row r="904" ht="15.75" customHeight="1" s="23"/>
    <row r="905" ht="15.75" customHeight="1" s="23"/>
    <row r="906" ht="15.75" customHeight="1" s="23"/>
    <row r="907" ht="15.75" customHeight="1" s="23"/>
    <row r="908" ht="15.75" customHeight="1" s="23"/>
    <row r="909" ht="15.75" customHeight="1" s="23"/>
    <row r="910" ht="15.75" customHeight="1" s="23"/>
    <row r="911" ht="15.75" customHeight="1" s="23"/>
    <row r="912" ht="15.75" customHeight="1" s="23"/>
    <row r="913" ht="15.75" customHeight="1" s="23"/>
    <row r="914" ht="15.75" customHeight="1" s="23"/>
    <row r="915" ht="15.75" customHeight="1" s="23"/>
    <row r="916" ht="15.75" customHeight="1" s="23"/>
    <row r="917" ht="15.75" customHeight="1" s="23"/>
    <row r="918" ht="15.75" customHeight="1" s="23"/>
    <row r="919" ht="15.75" customHeight="1" s="23"/>
    <row r="920" ht="15.75" customHeight="1" s="23"/>
    <row r="921" ht="15.75" customHeight="1" s="23"/>
    <row r="922" ht="15.75" customHeight="1" s="23"/>
    <row r="923" ht="15.75" customHeight="1" s="23"/>
    <row r="924" ht="15.75" customHeight="1" s="23"/>
    <row r="925" ht="15.75" customHeight="1" s="23"/>
    <row r="926" ht="15.75" customHeight="1" s="23"/>
    <row r="927" ht="15.75" customHeight="1" s="23"/>
    <row r="928" ht="15.75" customHeight="1" s="23"/>
    <row r="929" ht="15.75" customHeight="1" s="23"/>
    <row r="930" ht="15.75" customHeight="1" s="23"/>
    <row r="931" ht="15.75" customHeight="1" s="23"/>
    <row r="932" ht="15.75" customHeight="1" s="23"/>
    <row r="933" ht="15.75" customHeight="1" s="23"/>
    <row r="934" ht="15.75" customHeight="1" s="23"/>
    <row r="935" ht="15.75" customHeight="1" s="23"/>
    <row r="936" ht="15.75" customHeight="1" s="23"/>
    <row r="937" ht="15.75" customHeight="1" s="23"/>
    <row r="938" ht="15.75" customHeight="1" s="23"/>
    <row r="939" ht="15.75" customHeight="1" s="23"/>
    <row r="940" ht="15.75" customHeight="1" s="23"/>
    <row r="941" ht="15.75" customHeight="1" s="23"/>
    <row r="942" ht="15.75" customHeight="1" s="23"/>
    <row r="943" ht="15.75" customHeight="1" s="23"/>
    <row r="944" ht="15.75" customHeight="1" s="23"/>
    <row r="945" ht="15.75" customHeight="1" s="23"/>
    <row r="946" ht="15.75" customHeight="1" s="23"/>
    <row r="947" ht="15.75" customHeight="1" s="23"/>
    <row r="948" ht="15.75" customHeight="1" s="23"/>
    <row r="949" ht="15.75" customHeight="1" s="23"/>
    <row r="950" ht="15.75" customHeight="1" s="23"/>
    <row r="951" ht="15.75" customHeight="1" s="23"/>
    <row r="952" ht="15.75" customHeight="1" s="23"/>
    <row r="953" ht="15.75" customHeight="1" s="23"/>
    <row r="954" ht="15.75" customHeight="1" s="23"/>
    <row r="955" ht="15.75" customHeight="1" s="23"/>
    <row r="956" ht="15.75" customHeight="1" s="23"/>
    <row r="957" ht="15.75" customHeight="1" s="23"/>
    <row r="958" ht="15.75" customHeight="1" s="23"/>
    <row r="959" ht="15.75" customHeight="1" s="23"/>
    <row r="960" ht="15.75" customHeight="1" s="23"/>
    <row r="961" ht="15.75" customHeight="1" s="23"/>
    <row r="962" ht="15.75" customHeight="1" s="23"/>
    <row r="963" ht="15.75" customHeight="1" s="23"/>
    <row r="964" ht="15.75" customHeight="1" s="23"/>
    <row r="965" ht="15.75" customHeight="1" s="23"/>
    <row r="966" ht="15.75" customHeight="1" s="23"/>
    <row r="967" ht="15.75" customHeight="1" s="23"/>
    <row r="968" ht="15.75" customHeight="1" s="23"/>
    <row r="969" ht="15.75" customHeight="1" s="23"/>
    <row r="970" ht="15.75" customHeight="1" s="23"/>
    <row r="971" ht="15.75" customHeight="1" s="23"/>
    <row r="972" ht="15.75" customHeight="1" s="23"/>
    <row r="973" ht="15.75" customHeight="1" s="23"/>
    <row r="974" ht="15.75" customHeight="1" s="23"/>
    <row r="975" ht="15.75" customHeight="1" s="23"/>
    <row r="976" ht="15.75" customHeight="1" s="23"/>
    <row r="977" ht="15.75" customHeight="1" s="23"/>
    <row r="978" ht="15.75" customHeight="1" s="23"/>
    <row r="979" ht="15.75" customHeight="1" s="23"/>
    <row r="980" ht="15.75" customHeight="1" s="23"/>
    <row r="981" ht="15.75" customHeight="1" s="23"/>
    <row r="982" ht="15.75" customHeight="1" s="23"/>
    <row r="983" ht="15.75" customHeight="1" s="23"/>
    <row r="984" ht="15.75" customHeight="1" s="23"/>
    <row r="985" ht="15.75" customHeight="1" s="23"/>
    <row r="986" ht="15.75" customHeight="1" s="23"/>
    <row r="987" ht="15.75" customHeight="1" s="23"/>
    <row r="988" ht="15.75" customHeight="1" s="23"/>
    <row r="989" ht="15.75" customHeight="1" s="23"/>
    <row r="990" ht="15.75" customHeight="1" s="23"/>
    <row r="991" ht="15.75" customHeight="1" s="23"/>
    <row r="992" ht="15.75" customHeight="1" s="23"/>
    <row r="993" ht="15.75" customHeight="1" s="23"/>
    <row r="994" ht="15.75" customHeight="1" s="23"/>
    <row r="995" ht="15.75" customHeight="1" s="23"/>
    <row r="996" ht="15.75" customHeight="1" s="23"/>
    <row r="997" ht="15.75" customHeight="1" s="23"/>
    <row r="998" ht="15.75" customHeight="1" s="23"/>
    <row r="999" ht="15.75" customHeight="1" s="23"/>
    <row r="1000" ht="15.75" customHeight="1" s="23"/>
  </sheetData>
  <pageMargins left="0.75" right="0.75" top="1" bottom="1" header="0" footer="0"/>
  <pageSetup orientation="landscape"/>
  <headerFooter>
    <oddHeader>&amp;L 008000 Classification: Internal#_x000d_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2026-07-21T12:14:25Z</dcterms:created>
  <dcterms:modified xmlns:dcterms="http://purl.org/dc/terms/" xmlns:xsi="http://www.w3.org/2001/XMLSchema-instance" xsi:type="dcterms:W3CDTF">2026-08-03T14:26:18Z</dcterms:modified>
</cp:coreProperties>
</file>

<file path=docProps/custom.xml><?xml version="1.0" encoding="utf-8"?>
<Properties xmlns="http://schemas.openxmlformats.org/officeDocument/2006/custom-properties">
  <property name="MSIP_Label_556dfe78-8a37-4fb5-b4aa-b92b97e18d15_Enabled" fmtid="{D5CDD505-2E9C-101B-9397-08002B2CF9AE}" pid="2">
    <vt:lpwstr xmlns:vt="http://schemas.openxmlformats.org/officeDocument/2006/docPropsVTypes">true</vt:lpwstr>
  </property>
  <property name="MSIP_Label_556dfe78-8a37-4fb5-b4aa-b92b97e18d15_SetDate" fmtid="{D5CDD505-2E9C-101B-9397-08002B2CF9AE}" pid="3">
    <vt:lpwstr xmlns:vt="http://schemas.openxmlformats.org/officeDocument/2006/docPropsVTypes">2026-07-21T15:35:39Z</vt:lpwstr>
  </property>
  <property name="MSIP_Label_556dfe78-8a37-4fb5-b4aa-b92b97e18d15_Method" fmtid="{D5CDD505-2E9C-101B-9397-08002B2CF9AE}" pid="4">
    <vt:lpwstr xmlns:vt="http://schemas.openxmlformats.org/officeDocument/2006/docPropsVTypes">Standard</vt:lpwstr>
  </property>
  <property name="MSIP_Label_556dfe78-8a37-4fb5-b4aa-b92b97e18d15_Name" fmtid="{D5CDD505-2E9C-101B-9397-08002B2CF9AE}" pid="5">
    <vt:lpwstr xmlns:vt="http://schemas.openxmlformats.org/officeDocument/2006/docPropsVTypes">Internal</vt:lpwstr>
  </property>
  <property name="MSIP_Label_556dfe78-8a37-4fb5-b4aa-b92b97e18d15_SiteId" fmtid="{D5CDD505-2E9C-101B-9397-08002B2CF9AE}" pid="6">
    <vt:lpwstr xmlns:vt="http://schemas.openxmlformats.org/officeDocument/2006/docPropsVTypes">189de737-c93a-4f5a-8b68-6f4ca9941912</vt:lpwstr>
  </property>
  <property name="MSIP_Label_556dfe78-8a37-4fb5-b4aa-b92b97e18d15_ActionId" fmtid="{D5CDD505-2E9C-101B-9397-08002B2CF9AE}" pid="7">
    <vt:lpwstr xmlns:vt="http://schemas.openxmlformats.org/officeDocument/2006/docPropsVTypes">027ad832-c3a4-4a1b-8b5b-6c1bacf79d96</vt:lpwstr>
  </property>
  <property name="MSIP_Label_556dfe78-8a37-4fb5-b4aa-b92b97e18d15_ContentBits" fmtid="{D5CDD505-2E9C-101B-9397-08002B2CF9AE}" pid="8">
    <vt:lpwstr xmlns:vt="http://schemas.openxmlformats.org/officeDocument/2006/docPropsVTypes">1</vt:lpwstr>
  </property>
  <property name="MSIP_Label_556dfe78-8a37-4fb5-b4aa-b92b97e18d15_Tag" fmtid="{D5CDD505-2E9C-101B-9397-08002B2CF9AE}" pid="9">
    <vt:lpwstr xmlns:vt="http://schemas.openxmlformats.org/officeDocument/2006/docPropsVTypes">50, 3, 0, 1</vt:lpwstr>
  </property>
</Properties>
</file>